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S\git\AFOLU_GHG_flux_model\src\LULUCF\scripts\postprocessing\"/>
    </mc:Choice>
  </mc:AlternateContent>
  <xr:revisionPtr revIDLastSave="0" documentId="13_ncr:1_{D711A765-EA99-40FA-B51B-0881170739A4}" xr6:coauthVersionLast="47" xr6:coauthVersionMax="47" xr10:uidLastSave="{00000000-0000-0000-0000-000000000000}"/>
  <bookViews>
    <workbookView xWindow="57480" yWindow="-120" windowWidth="38640" windowHeight="21120" activeTab="1" xr2:uid="{00000000-000D-0000-FFFF-FFFF00000000}"/>
  </bookViews>
  <sheets>
    <sheet name="scenarios" sheetId="1" r:id="rId1"/>
    <sheet name="scenarios_switch" sheetId="4" r:id="rId2"/>
    <sheet name="scenarios (2)" sheetId="3" r:id="rId3"/>
    <sheet name="key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 a="1"/>
  <c r="O4" i="4" s="1"/>
  <c r="P4" i="4" a="1"/>
  <c r="P4" i="4" s="1"/>
  <c r="Q4" i="4" a="1"/>
  <c r="Q4" i="4" s="1"/>
  <c r="O5" i="4" a="1"/>
  <c r="O5" i="4" s="1"/>
  <c r="P5" i="4" a="1"/>
  <c r="P5" i="4" s="1"/>
  <c r="Q5" i="4" a="1"/>
  <c r="Q5" i="4" s="1"/>
  <c r="O6" i="4" a="1"/>
  <c r="O6" i="4" s="1"/>
  <c r="P6" i="4" a="1"/>
  <c r="P6" i="4" s="1"/>
  <c r="Q6" i="4" a="1"/>
  <c r="Q6" i="4" s="1"/>
  <c r="O7" i="4" a="1"/>
  <c r="O7" i="4" s="1"/>
  <c r="P7" i="4" a="1"/>
  <c r="P7" i="4" s="1"/>
  <c r="Q7" i="4" a="1"/>
  <c r="Q7" i="4" s="1"/>
  <c r="O8" i="4" a="1"/>
  <c r="O8" i="4" s="1"/>
  <c r="P8" i="4" a="1"/>
  <c r="P8" i="4" s="1"/>
  <c r="Q8" i="4" a="1"/>
  <c r="Q8" i="4" s="1"/>
  <c r="O9" i="4" a="1"/>
  <c r="O9" i="4" s="1"/>
  <c r="P9" i="4" a="1"/>
  <c r="P9" i="4" s="1"/>
  <c r="Q9" i="4" a="1"/>
  <c r="Q9" i="4" s="1"/>
  <c r="O10" i="4" a="1"/>
  <c r="O10" i="4" s="1"/>
  <c r="P10" i="4" a="1"/>
  <c r="P10" i="4" s="1"/>
  <c r="Q10" i="4" a="1"/>
  <c r="Q10" i="4" s="1"/>
  <c r="O11" i="4" a="1"/>
  <c r="O11" i="4" s="1"/>
  <c r="P11" i="4" a="1"/>
  <c r="P11" i="4" s="1"/>
  <c r="Q11" i="4" a="1"/>
  <c r="Q11" i="4" s="1"/>
  <c r="O12" i="4" a="1"/>
  <c r="O12" i="4" s="1"/>
  <c r="P12" i="4" a="1"/>
  <c r="P12" i="4" s="1"/>
  <c r="Q12" i="4" a="1"/>
  <c r="Q12" i="4" s="1"/>
  <c r="O13" i="4" a="1"/>
  <c r="O13" i="4" s="1"/>
  <c r="P13" i="4" a="1"/>
  <c r="P13" i="4" s="1"/>
  <c r="Q13" i="4" a="1"/>
  <c r="Q13" i="4" s="1"/>
  <c r="O14" i="4" a="1"/>
  <c r="O14" i="4" s="1"/>
  <c r="P14" i="4" a="1"/>
  <c r="P14" i="4" s="1"/>
  <c r="Q14" i="4" a="1"/>
  <c r="Q14" i="4" s="1"/>
  <c r="O15" i="4" a="1"/>
  <c r="O15" i="4" s="1"/>
  <c r="P15" i="4" a="1"/>
  <c r="P15" i="4" s="1"/>
  <c r="Q15" i="4" a="1"/>
  <c r="Q15" i="4" s="1"/>
  <c r="O16" i="4" a="1"/>
  <c r="O16" i="4" s="1"/>
  <c r="P16" i="4" a="1"/>
  <c r="P16" i="4" s="1"/>
  <c r="Q16" i="4" a="1"/>
  <c r="Q16" i="4" s="1"/>
  <c r="O17" i="4" a="1"/>
  <c r="O17" i="4" s="1"/>
  <c r="P17" i="4" a="1"/>
  <c r="P17" i="4" s="1"/>
  <c r="Q17" i="4" a="1"/>
  <c r="Q17" i="4" s="1"/>
  <c r="O18" i="4" a="1"/>
  <c r="O18" i="4" s="1"/>
  <c r="P18" i="4" a="1"/>
  <c r="P18" i="4" s="1"/>
  <c r="Q18" i="4" a="1"/>
  <c r="Q18" i="4" s="1"/>
  <c r="O19" i="4" a="1"/>
  <c r="O19" i="4" s="1"/>
  <c r="P19" i="4" a="1"/>
  <c r="P19" i="4" s="1"/>
  <c r="Q19" i="4" a="1"/>
  <c r="Q19" i="4" s="1"/>
  <c r="O20" i="4" a="1"/>
  <c r="O20" i="4" s="1"/>
  <c r="P20" i="4" a="1"/>
  <c r="P20" i="4" s="1"/>
  <c r="Q20" i="4" a="1"/>
  <c r="Q20" i="4" s="1"/>
  <c r="Q3" i="4" a="1"/>
  <c r="Q3" i="4" s="1"/>
  <c r="P3" i="4" a="1"/>
  <c r="P3" i="4" s="1"/>
  <c r="O3" i="4" a="1"/>
  <c r="O3" i="4" s="1"/>
  <c r="B4" i="4" a="1"/>
  <c r="B4" i="4" s="1"/>
  <c r="C4" i="4" a="1"/>
  <c r="C4" i="4" s="1"/>
  <c r="D4" i="4" a="1"/>
  <c r="D4" i="4" s="1"/>
  <c r="E4" i="4" a="1"/>
  <c r="E4" i="4" s="1"/>
  <c r="F4" i="4" a="1"/>
  <c r="F4" i="4" s="1"/>
  <c r="G4" i="4" a="1"/>
  <c r="G4" i="4" s="1"/>
  <c r="H4" i="4" a="1"/>
  <c r="H4" i="4" s="1"/>
  <c r="I4" i="4" a="1"/>
  <c r="I4" i="4" s="1"/>
  <c r="J4" i="4" a="1"/>
  <c r="J4" i="4" s="1"/>
  <c r="K4" i="4" a="1"/>
  <c r="K4" i="4" s="1"/>
  <c r="L4" i="4" a="1"/>
  <c r="L4" i="4" s="1"/>
  <c r="M4" i="4" a="1"/>
  <c r="M4" i="4" s="1"/>
  <c r="N4" i="4" a="1"/>
  <c r="N4" i="4" s="1"/>
  <c r="B5" i="4" a="1"/>
  <c r="B5" i="4" s="1"/>
  <c r="C5" i="4" a="1"/>
  <c r="C5" i="4" s="1"/>
  <c r="D5" i="4" a="1"/>
  <c r="D5" i="4" s="1"/>
  <c r="E5" i="4" a="1"/>
  <c r="E5" i="4" s="1"/>
  <c r="F5" i="4" a="1"/>
  <c r="F5" i="4" s="1"/>
  <c r="G5" i="4" a="1"/>
  <c r="G5" i="4" s="1"/>
  <c r="H5" i="4" a="1"/>
  <c r="H5" i="4" s="1"/>
  <c r="I5" i="4" a="1"/>
  <c r="I5" i="4" s="1"/>
  <c r="J5" i="4" a="1"/>
  <c r="J5" i="4" s="1"/>
  <c r="K5" i="4" a="1"/>
  <c r="K5" i="4" s="1"/>
  <c r="L5" i="4" a="1"/>
  <c r="L5" i="4" s="1"/>
  <c r="M5" i="4" a="1"/>
  <c r="M5" i="4" s="1"/>
  <c r="N5" i="4" a="1"/>
  <c r="N5" i="4" s="1"/>
  <c r="B6" i="4" a="1"/>
  <c r="B6" i="4" s="1"/>
  <c r="C6" i="4" a="1"/>
  <c r="C6" i="4" s="1"/>
  <c r="D6" i="4" a="1"/>
  <c r="D6" i="4" s="1"/>
  <c r="E6" i="4" a="1"/>
  <c r="E6" i="4" s="1"/>
  <c r="F6" i="4" a="1"/>
  <c r="F6" i="4" s="1"/>
  <c r="G6" i="4" a="1"/>
  <c r="G6" i="4" s="1"/>
  <c r="H6" i="4" a="1"/>
  <c r="H6" i="4" s="1"/>
  <c r="I6" i="4" a="1"/>
  <c r="I6" i="4" s="1"/>
  <c r="J6" i="4" a="1"/>
  <c r="J6" i="4" s="1"/>
  <c r="K6" i="4" a="1"/>
  <c r="K6" i="4" s="1"/>
  <c r="L6" i="4" a="1"/>
  <c r="L6" i="4" s="1"/>
  <c r="M6" i="4" a="1"/>
  <c r="M6" i="4" s="1"/>
  <c r="N6" i="4" a="1"/>
  <c r="N6" i="4" s="1"/>
  <c r="B7" i="4" a="1"/>
  <c r="B7" i="4" s="1"/>
  <c r="C7" i="4" a="1"/>
  <c r="C7" i="4" s="1"/>
  <c r="D7" i="4" a="1"/>
  <c r="D7" i="4" s="1"/>
  <c r="E7" i="4" a="1"/>
  <c r="E7" i="4" s="1"/>
  <c r="F7" i="4" a="1"/>
  <c r="F7" i="4" s="1"/>
  <c r="G7" i="4" a="1"/>
  <c r="G7" i="4" s="1"/>
  <c r="H7" i="4" a="1"/>
  <c r="H7" i="4" s="1"/>
  <c r="I7" i="4" a="1"/>
  <c r="I7" i="4" s="1"/>
  <c r="J7" i="4" a="1"/>
  <c r="J7" i="4" s="1"/>
  <c r="K7" i="4" a="1"/>
  <c r="K7" i="4" s="1"/>
  <c r="L7" i="4" a="1"/>
  <c r="L7" i="4" s="1"/>
  <c r="M7" i="4" a="1"/>
  <c r="M7" i="4" s="1"/>
  <c r="N7" i="4" a="1"/>
  <c r="N7" i="4" s="1"/>
  <c r="B8" i="4" a="1"/>
  <c r="B8" i="4" s="1"/>
  <c r="C8" i="4" a="1"/>
  <c r="C8" i="4" s="1"/>
  <c r="D8" i="4" a="1"/>
  <c r="D8" i="4" s="1"/>
  <c r="E8" i="4" a="1"/>
  <c r="E8" i="4" s="1"/>
  <c r="F8" i="4" a="1"/>
  <c r="F8" i="4" s="1"/>
  <c r="G8" i="4" a="1"/>
  <c r="G8" i="4" s="1"/>
  <c r="H8" i="4" a="1"/>
  <c r="H8" i="4" s="1"/>
  <c r="I8" i="4" a="1"/>
  <c r="I8" i="4" s="1"/>
  <c r="J8" i="4" a="1"/>
  <c r="J8" i="4" s="1"/>
  <c r="K8" i="4" a="1"/>
  <c r="K8" i="4" s="1"/>
  <c r="L8" i="4" a="1"/>
  <c r="L8" i="4" s="1"/>
  <c r="M8" i="4" a="1"/>
  <c r="M8" i="4" s="1"/>
  <c r="N8" i="4" a="1"/>
  <c r="N8" i="4" s="1"/>
  <c r="B9" i="4" a="1"/>
  <c r="B9" i="4" s="1"/>
  <c r="C9" i="4" a="1"/>
  <c r="C9" i="4" s="1"/>
  <c r="D9" i="4" a="1"/>
  <c r="D9" i="4" s="1"/>
  <c r="E9" i="4" a="1"/>
  <c r="E9" i="4" s="1"/>
  <c r="F9" i="4" a="1"/>
  <c r="F9" i="4" s="1"/>
  <c r="G9" i="4" a="1"/>
  <c r="G9" i="4" s="1"/>
  <c r="H9" i="4" a="1"/>
  <c r="H9" i="4" s="1"/>
  <c r="I9" i="4" a="1"/>
  <c r="I9" i="4" s="1"/>
  <c r="J9" i="4" a="1"/>
  <c r="J9" i="4" s="1"/>
  <c r="K9" i="4" a="1"/>
  <c r="K9" i="4" s="1"/>
  <c r="L9" i="4" a="1"/>
  <c r="L9" i="4" s="1"/>
  <c r="M9" i="4" a="1"/>
  <c r="M9" i="4" s="1"/>
  <c r="N9" i="4" a="1"/>
  <c r="N9" i="4" s="1"/>
  <c r="B10" i="4" a="1"/>
  <c r="B10" i="4" s="1"/>
  <c r="C10" i="4" a="1"/>
  <c r="C10" i="4" s="1"/>
  <c r="D10" i="4" a="1"/>
  <c r="D10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J10" i="4" a="1"/>
  <c r="J10" i="4" s="1"/>
  <c r="K10" i="4" a="1"/>
  <c r="K10" i="4" s="1"/>
  <c r="L10" i="4" a="1"/>
  <c r="L10" i="4" s="1"/>
  <c r="M10" i="4" a="1"/>
  <c r="M10" i="4" s="1"/>
  <c r="N10" i="4" a="1"/>
  <c r="N10" i="4" s="1"/>
  <c r="B11" i="4" a="1"/>
  <c r="B11" i="4" s="1"/>
  <c r="C11" i="4" a="1"/>
  <c r="C11" i="4" s="1"/>
  <c r="D11" i="4" a="1"/>
  <c r="D11" i="4" s="1"/>
  <c r="E11" i="4" a="1"/>
  <c r="E11" i="4" s="1"/>
  <c r="F11" i="4" a="1"/>
  <c r="F11" i="4" s="1"/>
  <c r="G11" i="4" a="1"/>
  <c r="G11" i="4" s="1"/>
  <c r="H11" i="4" a="1"/>
  <c r="H11" i="4" s="1"/>
  <c r="I11" i="4" a="1"/>
  <c r="I11" i="4" s="1"/>
  <c r="J11" i="4" a="1"/>
  <c r="J11" i="4" s="1"/>
  <c r="K11" i="4" a="1"/>
  <c r="K11" i="4" s="1"/>
  <c r="L11" i="4" a="1"/>
  <c r="L11" i="4" s="1"/>
  <c r="M11" i="4" a="1"/>
  <c r="M11" i="4" s="1"/>
  <c r="N11" i="4" a="1"/>
  <c r="N11" i="4" s="1"/>
  <c r="B12" i="4" a="1"/>
  <c r="B12" i="4" s="1"/>
  <c r="C12" i="4" a="1"/>
  <c r="C12" i="4" s="1"/>
  <c r="D12" i="4" a="1"/>
  <c r="D12" i="4" s="1"/>
  <c r="E12" i="4" a="1"/>
  <c r="E12" i="4" s="1"/>
  <c r="F12" i="4" a="1"/>
  <c r="F12" i="4" s="1"/>
  <c r="G12" i="4" a="1"/>
  <c r="G12" i="4" s="1"/>
  <c r="H12" i="4" a="1"/>
  <c r="H12" i="4" s="1"/>
  <c r="I12" i="4" a="1"/>
  <c r="I12" i="4" s="1"/>
  <c r="J12" i="4" a="1"/>
  <c r="J12" i="4" s="1"/>
  <c r="K12" i="4" a="1"/>
  <c r="K12" i="4" s="1"/>
  <c r="L12" i="4" a="1"/>
  <c r="L12" i="4" s="1"/>
  <c r="M12" i="4" a="1"/>
  <c r="M12" i="4" s="1"/>
  <c r="N12" i="4" a="1"/>
  <c r="N12" i="4" s="1"/>
  <c r="B13" i="4" a="1"/>
  <c r="B13" i="4" s="1"/>
  <c r="C13" i="4" a="1"/>
  <c r="C13" i="4" s="1"/>
  <c r="D13" i="4" a="1"/>
  <c r="D13" i="4" s="1"/>
  <c r="E13" i="4" a="1"/>
  <c r="E13" i="4" s="1"/>
  <c r="F13" i="4" a="1"/>
  <c r="F13" i="4" s="1"/>
  <c r="G13" i="4" a="1"/>
  <c r="G13" i="4" s="1"/>
  <c r="H13" i="4" a="1"/>
  <c r="H13" i="4" s="1"/>
  <c r="I13" i="4" a="1"/>
  <c r="I13" i="4" s="1"/>
  <c r="J13" i="4" a="1"/>
  <c r="J13" i="4" s="1"/>
  <c r="K13" i="4" a="1"/>
  <c r="K13" i="4" s="1"/>
  <c r="L13" i="4" a="1"/>
  <c r="L13" i="4" s="1"/>
  <c r="M13" i="4" a="1"/>
  <c r="M13" i="4" s="1"/>
  <c r="N13" i="4" a="1"/>
  <c r="N13" i="4" s="1"/>
  <c r="B14" i="4" a="1"/>
  <c r="B14" i="4" s="1"/>
  <c r="C14" i="4" a="1"/>
  <c r="C14" i="4" s="1"/>
  <c r="D14" i="4" a="1"/>
  <c r="D14" i="4" s="1"/>
  <c r="E14" i="4" a="1"/>
  <c r="E14" i="4" s="1"/>
  <c r="F14" i="4" a="1"/>
  <c r="F14" i="4" s="1"/>
  <c r="G14" i="4" a="1"/>
  <c r="G14" i="4" s="1"/>
  <c r="H14" i="4" a="1"/>
  <c r="H14" i="4" s="1"/>
  <c r="I14" i="4" a="1"/>
  <c r="I14" i="4" s="1"/>
  <c r="J14" i="4" a="1"/>
  <c r="J14" i="4" s="1"/>
  <c r="K14" i="4" a="1"/>
  <c r="K14" i="4" s="1"/>
  <c r="L14" i="4" a="1"/>
  <c r="L14" i="4" s="1"/>
  <c r="M14" i="4" a="1"/>
  <c r="M14" i="4" s="1"/>
  <c r="N14" i="4" a="1"/>
  <c r="N14" i="4" s="1"/>
  <c r="B15" i="4" a="1"/>
  <c r="B15" i="4" s="1"/>
  <c r="C15" i="4" a="1"/>
  <c r="C15" i="4" s="1"/>
  <c r="D15" i="4" a="1"/>
  <c r="D15" i="4" s="1"/>
  <c r="E15" i="4" a="1"/>
  <c r="E15" i="4" s="1"/>
  <c r="F15" i="4" a="1"/>
  <c r="F15" i="4" s="1"/>
  <c r="G15" i="4" a="1"/>
  <c r="G15" i="4" s="1"/>
  <c r="H15" i="4" a="1"/>
  <c r="H15" i="4" s="1"/>
  <c r="I15" i="4" a="1"/>
  <c r="I15" i="4" s="1"/>
  <c r="J15" i="4" a="1"/>
  <c r="J15" i="4" s="1"/>
  <c r="K15" i="4" a="1"/>
  <c r="K15" i="4" s="1"/>
  <c r="L15" i="4" a="1"/>
  <c r="L15" i="4" s="1"/>
  <c r="M15" i="4" a="1"/>
  <c r="M15" i="4" s="1"/>
  <c r="N15" i="4" a="1"/>
  <c r="N15" i="4" s="1"/>
  <c r="B16" i="4" a="1"/>
  <c r="B16" i="4" s="1"/>
  <c r="C16" i="4" a="1"/>
  <c r="C16" i="4" s="1"/>
  <c r="D16" i="4" a="1"/>
  <c r="D16" i="4" s="1"/>
  <c r="E16" i="4" a="1"/>
  <c r="E16" i="4" s="1"/>
  <c r="F16" i="4" a="1"/>
  <c r="F16" i="4" s="1"/>
  <c r="G16" i="4" a="1"/>
  <c r="G16" i="4" s="1"/>
  <c r="H16" i="4" a="1"/>
  <c r="H16" i="4" s="1"/>
  <c r="I16" i="4" a="1"/>
  <c r="I16" i="4" s="1"/>
  <c r="J16" i="4" a="1"/>
  <c r="J16" i="4" s="1"/>
  <c r="K16" i="4" a="1"/>
  <c r="K16" i="4" s="1"/>
  <c r="L16" i="4" a="1"/>
  <c r="L16" i="4" s="1"/>
  <c r="M16" i="4" a="1"/>
  <c r="M16" i="4" s="1"/>
  <c r="N16" i="4" a="1"/>
  <c r="N16" i="4" s="1"/>
  <c r="B17" i="4" a="1"/>
  <c r="B17" i="4" s="1"/>
  <c r="C17" i="4" a="1"/>
  <c r="C17" i="4" s="1"/>
  <c r="D17" i="4" a="1"/>
  <c r="D17" i="4" s="1"/>
  <c r="E17" i="4" a="1"/>
  <c r="E17" i="4" s="1"/>
  <c r="F17" i="4" a="1"/>
  <c r="F17" i="4" s="1"/>
  <c r="G17" i="4" a="1"/>
  <c r="G17" i="4" s="1"/>
  <c r="H17" i="4" a="1"/>
  <c r="H17" i="4" s="1"/>
  <c r="I17" i="4" a="1"/>
  <c r="I17" i="4" s="1"/>
  <c r="J17" i="4" a="1"/>
  <c r="J17" i="4" s="1"/>
  <c r="K17" i="4" a="1"/>
  <c r="K17" i="4" s="1"/>
  <c r="L17" i="4" a="1"/>
  <c r="L17" i="4" s="1"/>
  <c r="M17" i="4" a="1"/>
  <c r="M17" i="4" s="1"/>
  <c r="N17" i="4" a="1"/>
  <c r="N17" i="4" s="1"/>
  <c r="B18" i="4" a="1"/>
  <c r="B18" i="4" s="1"/>
  <c r="C18" i="4" a="1"/>
  <c r="C18" i="4" s="1"/>
  <c r="D18" i="4" a="1"/>
  <c r="D18" i="4" s="1"/>
  <c r="E18" i="4" a="1"/>
  <c r="E18" i="4" s="1"/>
  <c r="F18" i="4" a="1"/>
  <c r="F18" i="4" s="1"/>
  <c r="G18" i="4" a="1"/>
  <c r="G18" i="4" s="1"/>
  <c r="H18" i="4" a="1"/>
  <c r="H18" i="4" s="1"/>
  <c r="I18" i="4" a="1"/>
  <c r="I18" i="4" s="1"/>
  <c r="J18" i="4" a="1"/>
  <c r="J18" i="4" s="1"/>
  <c r="K18" i="4" a="1"/>
  <c r="K18" i="4" s="1"/>
  <c r="L18" i="4" a="1"/>
  <c r="L18" i="4" s="1"/>
  <c r="M18" i="4" a="1"/>
  <c r="M18" i="4" s="1"/>
  <c r="N18" i="4" a="1"/>
  <c r="N18" i="4" s="1"/>
  <c r="B19" i="4" a="1"/>
  <c r="B19" i="4" s="1"/>
  <c r="C19" i="4" a="1"/>
  <c r="C19" i="4" s="1"/>
  <c r="D19" i="4" a="1"/>
  <c r="D19" i="4" s="1"/>
  <c r="E19" i="4" a="1"/>
  <c r="E19" i="4" s="1"/>
  <c r="F19" i="4" a="1"/>
  <c r="F19" i="4" s="1"/>
  <c r="G19" i="4" a="1"/>
  <c r="G19" i="4" s="1"/>
  <c r="H19" i="4" a="1"/>
  <c r="H19" i="4" s="1"/>
  <c r="I19" i="4" a="1"/>
  <c r="I19" i="4" s="1"/>
  <c r="J19" i="4" a="1"/>
  <c r="J19" i="4" s="1"/>
  <c r="K19" i="4" a="1"/>
  <c r="K19" i="4" s="1"/>
  <c r="L19" i="4" a="1"/>
  <c r="L19" i="4" s="1"/>
  <c r="M19" i="4" a="1"/>
  <c r="M19" i="4" s="1"/>
  <c r="N19" i="4" a="1"/>
  <c r="N19" i="4" s="1"/>
  <c r="B20" i="4" a="1"/>
  <c r="B20" i="4" s="1"/>
  <c r="C20" i="4" a="1"/>
  <c r="C20" i="4" s="1"/>
  <c r="D20" i="4" a="1"/>
  <c r="D20" i="4" s="1"/>
  <c r="E20" i="4" a="1"/>
  <c r="E20" i="4" s="1"/>
  <c r="F20" i="4" a="1"/>
  <c r="F20" i="4" s="1"/>
  <c r="G20" i="4" a="1"/>
  <c r="G20" i="4" s="1"/>
  <c r="H20" i="4" a="1"/>
  <c r="H20" i="4" s="1"/>
  <c r="I20" i="4" a="1"/>
  <c r="I20" i="4" s="1"/>
  <c r="J20" i="4" a="1"/>
  <c r="J20" i="4" s="1"/>
  <c r="K20" i="4" a="1"/>
  <c r="K20" i="4" s="1"/>
  <c r="L20" i="4" a="1"/>
  <c r="L20" i="4" s="1"/>
  <c r="M20" i="4" a="1"/>
  <c r="M20" i="4" s="1"/>
  <c r="N20" i="4" a="1"/>
  <c r="N20" i="4" s="1"/>
  <c r="C3" i="4" a="1"/>
  <c r="C3" i="4" s="1"/>
  <c r="D3" i="4" a="1"/>
  <c r="D3" i="4" s="1"/>
  <c r="E3" i="4" a="1"/>
  <c r="E3" i="4" s="1"/>
  <c r="F3" i="4" a="1"/>
  <c r="F3" i="4" s="1"/>
  <c r="G3" i="4" a="1"/>
  <c r="G3" i="4" s="1"/>
  <c r="H3" i="4" a="1"/>
  <c r="H3" i="4" s="1"/>
  <c r="I3" i="4" a="1"/>
  <c r="I3" i="4" s="1"/>
  <c r="J3" i="4" a="1"/>
  <c r="J3" i="4" s="1"/>
  <c r="K3" i="4" a="1"/>
  <c r="K3" i="4" s="1"/>
  <c r="L3" i="4" a="1"/>
  <c r="L3" i="4" s="1"/>
  <c r="M3" i="4" a="1"/>
  <c r="M3" i="4" s="1"/>
  <c r="N3" i="4" a="1"/>
  <c r="N3" i="4" s="1"/>
  <c r="B3" i="4" a="1"/>
  <c r="B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<sst xmlns="http://schemas.openxmlformats.org/spreadsheetml/2006/main" count="88" uniqueCount="56">
  <si>
    <t>Driver</t>
  </si>
  <si>
    <t>LUC</t>
  </si>
  <si>
    <t>not conversion (shifting ag)</t>
  </si>
  <si>
    <t>shifting ag</t>
  </si>
  <si>
    <t>LUC (F&gt;C 2017)</t>
  </si>
  <si>
    <t>conversion - could be re-classified as not conversion if goes back to trees, because then it would be shifting ag.</t>
  </si>
  <si>
    <t>LUC (F&gt;C 2022)</t>
  </si>
  <si>
    <t>LUC (C&gt;C 2000)</t>
  </si>
  <si>
    <t>does this become permanent ag &amp; therefore conversion at some point?</t>
  </si>
  <si>
    <t>interval_end_year</t>
  </si>
  <si>
    <t>Conversion?</t>
  </si>
  <si>
    <t>wetland</t>
  </si>
  <si>
    <t>water</t>
  </si>
  <si>
    <t>snow/ice</t>
  </si>
  <si>
    <t>cropland</t>
  </si>
  <si>
    <t>built up</t>
  </si>
  <si>
    <t>bare</t>
  </si>
  <si>
    <t>short veg wet</t>
  </si>
  <si>
    <t>cultivated wet</t>
  </si>
  <si>
    <t>short veg dry</t>
  </si>
  <si>
    <t>cultivated dry</t>
  </si>
  <si>
    <t>driver</t>
  </si>
  <si>
    <t>forest dry</t>
  </si>
  <si>
    <t>forest wet</t>
  </si>
  <si>
    <t>sdpt</t>
  </si>
  <si>
    <t>logging_concession</t>
  </si>
  <si>
    <t>id</t>
  </si>
  <si>
    <t>lc_2000</t>
  </si>
  <si>
    <t>lc_2005</t>
  </si>
  <si>
    <t>lc_2010</t>
  </si>
  <si>
    <t>lc_2015</t>
  </si>
  <si>
    <t>lc_2016</t>
  </si>
  <si>
    <t>lc_2017</t>
  </si>
  <si>
    <t>lc_2018</t>
  </si>
  <si>
    <t>lc_2019</t>
  </si>
  <si>
    <t>lc_2020</t>
  </si>
  <si>
    <t>lc_2021</t>
  </si>
  <si>
    <t>lc_2022</t>
  </si>
  <si>
    <t>lc_2023</t>
  </si>
  <si>
    <t>lc_2024</t>
  </si>
  <si>
    <t xml:space="preserve">Expected result: </t>
  </si>
  <si>
    <t>After tall vegetation is established, short veg is considered forest since SDPT</t>
  </si>
  <si>
    <t>After tall vegetation is established, cultivated grassland is considered forest since SDPT</t>
  </si>
  <si>
    <t xml:space="preserve">Forest the entire time series because logging concession </t>
  </si>
  <si>
    <t>Forest remaining forest</t>
  </si>
  <si>
    <t>Grassland remaining grassland</t>
  </si>
  <si>
    <t>Cropland remaining cropland</t>
  </si>
  <si>
    <t>Forest remaining forest (if n_years_unstocked_forest = 5)</t>
  </si>
  <si>
    <t>Forest to grassland (because it is cultivated grass)</t>
  </si>
  <si>
    <t>Forest to grassland in interior interval, but not at the end because Logging driver</t>
  </si>
  <si>
    <t>Forest to cropland in 2022</t>
  </si>
  <si>
    <t>Forest to cropland in 2017</t>
  </si>
  <si>
    <t>not conversion (shifting ag)???</t>
  </si>
  <si>
    <t xml:space="preserve">Forest remaining forest </t>
  </si>
  <si>
    <t>or cropland remaining cropland</t>
  </si>
  <si>
    <t>Back and foth between Forest and cropland until 2018?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</si>
</sst>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/>
    <xf numFmtId="0" fontId="1" fillId="0" borderId="0" xfId="0" applyFont="1" applyAlignment="1"/>
  </cellXfs>
  <cellStyles count="1">
    <cellStyle name="Normal" xfId="0" builtinId="0"/>
  </cellStyles>
  <dxfs count="8"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8ABE66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8ABE66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E38B"/>
      <color rgb="FF8ABE66"/>
      <color rgb="FF78B54F"/>
      <color rgb="FF8FC26C"/>
      <color rgb="FF91C3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zoomScaleNormal="100" workbookViewId="0">
      <selection activeCell="J41" sqref="J41"/>
    </sheetView>
  </sheetViews>
  <sheetFormatPr defaultRowHeight="14.4" x14ac:dyDescent="0.3"/>
  <cols>
    <col min="1" max="1" width="8.88671875" style="8"/>
    <col min="15" max="15" width="9.21875" customWidth="1"/>
    <col min="16" max="16" width="4.6640625" bestFit="1" customWidth="1"/>
    <col min="17" max="17" width="17.88671875" bestFit="1" customWidth="1"/>
    <col min="18" max="18" width="13.77734375" bestFit="1" customWidth="1"/>
  </cols>
  <sheetData>
    <row r="1" spans="1:17" x14ac:dyDescent="0.3">
      <c r="A1" s="8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2" t="s">
        <v>21</v>
      </c>
      <c r="P1" t="s">
        <v>24</v>
      </c>
      <c r="Q1" t="s">
        <v>25</v>
      </c>
    </row>
    <row r="2" spans="1:17" x14ac:dyDescent="0.3">
      <c r="A2" s="8">
        <v>1</v>
      </c>
      <c r="B2">
        <v>3</v>
      </c>
      <c r="C2">
        <v>1</v>
      </c>
      <c r="D2">
        <v>3</v>
      </c>
      <c r="E2">
        <v>3</v>
      </c>
      <c r="F2">
        <v>3</v>
      </c>
      <c r="G2">
        <v>1</v>
      </c>
      <c r="H2">
        <v>1</v>
      </c>
      <c r="I2">
        <v>1</v>
      </c>
      <c r="J2">
        <v>3</v>
      </c>
      <c r="K2">
        <v>3</v>
      </c>
      <c r="L2">
        <v>1</v>
      </c>
      <c r="M2">
        <v>1</v>
      </c>
      <c r="N2">
        <v>1</v>
      </c>
    </row>
    <row r="3" spans="1:17" x14ac:dyDescent="0.3">
      <c r="A3" s="8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2</v>
      </c>
      <c r="H3">
        <v>2</v>
      </c>
      <c r="I3">
        <v>2</v>
      </c>
      <c r="J3">
        <v>3</v>
      </c>
      <c r="K3">
        <v>3</v>
      </c>
      <c r="L3">
        <v>2</v>
      </c>
      <c r="M3">
        <v>2</v>
      </c>
      <c r="N3">
        <v>2</v>
      </c>
    </row>
    <row r="4" spans="1:17" x14ac:dyDescent="0.3">
      <c r="A4" s="8">
        <v>3</v>
      </c>
      <c r="B4">
        <v>3</v>
      </c>
      <c r="C4">
        <v>1</v>
      </c>
      <c r="D4">
        <v>3</v>
      </c>
      <c r="E4">
        <v>3</v>
      </c>
      <c r="F4">
        <v>3</v>
      </c>
      <c r="G4">
        <v>1</v>
      </c>
      <c r="H4">
        <v>1</v>
      </c>
      <c r="I4">
        <v>1</v>
      </c>
      <c r="J4">
        <v>3</v>
      </c>
      <c r="K4">
        <v>3</v>
      </c>
      <c r="L4">
        <v>1</v>
      </c>
      <c r="M4">
        <v>1</v>
      </c>
      <c r="N4">
        <v>1</v>
      </c>
      <c r="O4">
        <v>4</v>
      </c>
    </row>
    <row r="5" spans="1:17" x14ac:dyDescent="0.3">
      <c r="A5" s="8">
        <v>4</v>
      </c>
      <c r="B5">
        <v>3</v>
      </c>
      <c r="C5">
        <v>3</v>
      </c>
      <c r="D5">
        <v>3</v>
      </c>
      <c r="E5">
        <v>3</v>
      </c>
      <c r="F5">
        <v>3</v>
      </c>
      <c r="G5">
        <v>2</v>
      </c>
      <c r="H5">
        <v>2</v>
      </c>
      <c r="I5">
        <v>2</v>
      </c>
      <c r="J5">
        <v>3</v>
      </c>
      <c r="K5">
        <v>3</v>
      </c>
      <c r="L5">
        <v>2</v>
      </c>
      <c r="M5">
        <v>2</v>
      </c>
      <c r="N5">
        <v>2</v>
      </c>
      <c r="O5">
        <v>4</v>
      </c>
    </row>
    <row r="6" spans="1:17" x14ac:dyDescent="0.3">
      <c r="A6" s="8">
        <v>5</v>
      </c>
      <c r="B6">
        <v>1</v>
      </c>
      <c r="C6">
        <v>1</v>
      </c>
      <c r="D6">
        <v>1</v>
      </c>
      <c r="E6">
        <v>3</v>
      </c>
      <c r="F6">
        <v>3</v>
      </c>
      <c r="G6">
        <v>1</v>
      </c>
      <c r="H6">
        <v>1</v>
      </c>
      <c r="I6">
        <v>1</v>
      </c>
      <c r="J6">
        <v>3</v>
      </c>
      <c r="K6">
        <v>3</v>
      </c>
      <c r="L6">
        <v>1</v>
      </c>
      <c r="M6">
        <v>1</v>
      </c>
      <c r="N6">
        <v>1</v>
      </c>
      <c r="P6">
        <v>2</v>
      </c>
    </row>
    <row r="7" spans="1:17" x14ac:dyDescent="0.3">
      <c r="A7" s="8">
        <v>6</v>
      </c>
      <c r="B7">
        <v>2</v>
      </c>
      <c r="C7">
        <v>2</v>
      </c>
      <c r="D7">
        <v>2</v>
      </c>
      <c r="E7">
        <v>3</v>
      </c>
      <c r="F7">
        <v>3</v>
      </c>
      <c r="G7">
        <v>2</v>
      </c>
      <c r="H7">
        <v>2</v>
      </c>
      <c r="I7">
        <v>2</v>
      </c>
      <c r="J7">
        <v>3</v>
      </c>
      <c r="K7">
        <v>3</v>
      </c>
      <c r="L7">
        <v>2</v>
      </c>
      <c r="M7">
        <v>2</v>
      </c>
      <c r="N7">
        <v>2</v>
      </c>
      <c r="P7">
        <v>2</v>
      </c>
    </row>
    <row r="8" spans="1:17" x14ac:dyDescent="0.3">
      <c r="A8" s="8">
        <v>7</v>
      </c>
      <c r="B8">
        <v>3</v>
      </c>
      <c r="C8">
        <v>3</v>
      </c>
      <c r="D8">
        <v>3</v>
      </c>
      <c r="E8">
        <v>3</v>
      </c>
      <c r="F8">
        <v>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Q8">
        <v>1</v>
      </c>
    </row>
    <row r="9" spans="1:17" x14ac:dyDescent="0.3">
      <c r="A9" s="8">
        <v>8</v>
      </c>
      <c r="B9">
        <v>3</v>
      </c>
      <c r="C9">
        <v>3</v>
      </c>
      <c r="D9">
        <v>3</v>
      </c>
      <c r="E9">
        <v>3</v>
      </c>
      <c r="F9">
        <v>3</v>
      </c>
      <c r="G9">
        <v>2</v>
      </c>
      <c r="H9">
        <v>2</v>
      </c>
      <c r="I9">
        <v>2</v>
      </c>
      <c r="J9">
        <v>3</v>
      </c>
      <c r="K9">
        <v>3</v>
      </c>
      <c r="L9">
        <v>2</v>
      </c>
      <c r="M9">
        <v>2</v>
      </c>
      <c r="N9">
        <v>2</v>
      </c>
      <c r="Q9">
        <v>1</v>
      </c>
    </row>
    <row r="10" spans="1:17" x14ac:dyDescent="0.3">
      <c r="A10" s="8">
        <v>9</v>
      </c>
      <c r="B10" s="1">
        <v>7</v>
      </c>
      <c r="C10" s="1">
        <v>7</v>
      </c>
      <c r="D10" s="1">
        <v>7</v>
      </c>
      <c r="E10" s="1">
        <v>7</v>
      </c>
      <c r="F10" s="1">
        <v>7</v>
      </c>
      <c r="G10" s="1">
        <v>7</v>
      </c>
      <c r="H10" s="1">
        <v>7</v>
      </c>
      <c r="I10" s="1">
        <v>7</v>
      </c>
      <c r="J10" s="1">
        <v>7</v>
      </c>
      <c r="K10" s="1">
        <v>7</v>
      </c>
      <c r="L10" s="1">
        <v>7</v>
      </c>
      <c r="M10" s="1">
        <v>7</v>
      </c>
      <c r="N10" s="1">
        <v>7</v>
      </c>
      <c r="O10" s="6"/>
    </row>
    <row r="11" spans="1:17" x14ac:dyDescent="0.3">
      <c r="A11" s="8">
        <v>10</v>
      </c>
      <c r="B11" s="1">
        <v>5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6"/>
    </row>
    <row r="12" spans="1:17" ht="16.5" customHeight="1" x14ac:dyDescent="0.3">
      <c r="A12" s="8">
        <v>11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K12" s="1">
        <v>10</v>
      </c>
      <c r="L12" s="1">
        <v>10</v>
      </c>
      <c r="M12" s="1">
        <v>10</v>
      </c>
      <c r="N12" s="1">
        <v>10</v>
      </c>
      <c r="O12" s="6"/>
    </row>
    <row r="13" spans="1:17" ht="16.5" customHeight="1" x14ac:dyDescent="0.3">
      <c r="A13" s="8">
        <v>12</v>
      </c>
      <c r="B13" s="1">
        <v>7</v>
      </c>
      <c r="C13" s="1">
        <v>7</v>
      </c>
      <c r="D13" s="1">
        <v>7</v>
      </c>
      <c r="E13" s="1">
        <v>7</v>
      </c>
      <c r="F13" s="1">
        <v>7</v>
      </c>
      <c r="G13" s="1">
        <v>7</v>
      </c>
      <c r="H13" s="1">
        <v>7</v>
      </c>
      <c r="I13" s="1">
        <v>7</v>
      </c>
      <c r="J13" s="1">
        <v>7</v>
      </c>
      <c r="K13" s="1">
        <v>7</v>
      </c>
      <c r="L13" s="1">
        <v>10</v>
      </c>
      <c r="M13" s="1">
        <v>10</v>
      </c>
      <c r="N13" s="1">
        <v>10</v>
      </c>
      <c r="O13" s="7"/>
    </row>
    <row r="14" spans="1:17" ht="16.5" customHeight="1" x14ac:dyDescent="0.3">
      <c r="A14" s="8">
        <v>13</v>
      </c>
      <c r="B14" s="1">
        <v>7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  <c r="J14" s="1">
        <v>7</v>
      </c>
      <c r="K14" s="1">
        <v>7</v>
      </c>
      <c r="L14" s="1">
        <v>10</v>
      </c>
      <c r="M14" s="1">
        <v>10</v>
      </c>
      <c r="N14" s="1">
        <v>10</v>
      </c>
      <c r="O14" s="7">
        <v>3</v>
      </c>
    </row>
    <row r="15" spans="1:17" ht="16.5" customHeight="1" x14ac:dyDescent="0.3">
      <c r="A15" s="8">
        <v>14</v>
      </c>
      <c r="B15" s="1">
        <v>7</v>
      </c>
      <c r="C15" s="1">
        <v>7</v>
      </c>
      <c r="D15" s="1">
        <v>7</v>
      </c>
      <c r="E15" s="1">
        <v>7</v>
      </c>
      <c r="F15" s="1">
        <v>7</v>
      </c>
      <c r="G15" s="1">
        <v>10</v>
      </c>
      <c r="H15" s="1">
        <v>10</v>
      </c>
      <c r="I15" s="1">
        <v>7</v>
      </c>
      <c r="J15" s="1">
        <v>7</v>
      </c>
      <c r="K15" s="1">
        <v>7</v>
      </c>
      <c r="L15" s="1">
        <v>10</v>
      </c>
      <c r="M15" s="1">
        <v>10</v>
      </c>
      <c r="N15" s="1">
        <v>10</v>
      </c>
      <c r="O15" s="7">
        <v>3</v>
      </c>
    </row>
    <row r="16" spans="1:17" ht="16.5" customHeight="1" x14ac:dyDescent="0.3">
      <c r="A16" s="8">
        <v>15</v>
      </c>
      <c r="B16" s="1">
        <v>10</v>
      </c>
      <c r="C16" s="1">
        <v>10</v>
      </c>
      <c r="D16" s="1">
        <v>7</v>
      </c>
      <c r="E16" s="1">
        <v>7</v>
      </c>
      <c r="F16" s="1">
        <v>7</v>
      </c>
      <c r="G16" s="1">
        <v>7</v>
      </c>
      <c r="H16" s="1">
        <v>10</v>
      </c>
      <c r="I16" s="1">
        <v>7</v>
      </c>
      <c r="J16" s="1">
        <v>7</v>
      </c>
      <c r="K16" s="1">
        <v>7</v>
      </c>
      <c r="L16" s="1">
        <v>10</v>
      </c>
      <c r="M16" s="1">
        <v>10</v>
      </c>
      <c r="N16" s="1">
        <v>10</v>
      </c>
      <c r="O16" s="7">
        <v>3</v>
      </c>
    </row>
    <row r="17" spans="1:15" ht="16.5" customHeight="1" x14ac:dyDescent="0.3">
      <c r="A17" s="8">
        <v>16</v>
      </c>
      <c r="B17" s="1">
        <v>5</v>
      </c>
      <c r="C17" s="1">
        <v>5</v>
      </c>
      <c r="D17" s="1">
        <v>7</v>
      </c>
      <c r="E17" s="1">
        <v>7</v>
      </c>
      <c r="F17" s="1">
        <v>7</v>
      </c>
      <c r="G17" s="1">
        <v>7</v>
      </c>
      <c r="H17" s="1">
        <v>5</v>
      </c>
      <c r="I17" s="1">
        <v>7</v>
      </c>
      <c r="J17" s="1">
        <v>7</v>
      </c>
      <c r="K17" s="1">
        <v>7</v>
      </c>
      <c r="L17" s="1">
        <v>5</v>
      </c>
      <c r="M17" s="1">
        <v>5</v>
      </c>
      <c r="N17" s="1">
        <v>5</v>
      </c>
      <c r="O17" s="7">
        <v>3</v>
      </c>
    </row>
    <row r="18" spans="1:15" x14ac:dyDescent="0.3">
      <c r="A18" s="8">
        <v>17</v>
      </c>
      <c r="B18" s="1">
        <v>7</v>
      </c>
      <c r="C18" s="1">
        <v>10</v>
      </c>
      <c r="D18" s="1">
        <v>7</v>
      </c>
      <c r="E18" s="1">
        <v>10</v>
      </c>
      <c r="F18" s="1">
        <v>7</v>
      </c>
      <c r="G18" s="1">
        <v>7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7"/>
    </row>
    <row r="19" spans="1:15" x14ac:dyDescent="0.3">
      <c r="A19" s="8">
        <v>18</v>
      </c>
      <c r="B19" s="1">
        <v>7</v>
      </c>
      <c r="C19" s="1">
        <v>7</v>
      </c>
      <c r="D19" s="1">
        <v>7</v>
      </c>
      <c r="E19" s="1">
        <v>7</v>
      </c>
      <c r="F19" s="1">
        <v>7</v>
      </c>
      <c r="G19" s="1">
        <v>7</v>
      </c>
      <c r="H19" s="1">
        <v>7</v>
      </c>
      <c r="I19" s="1">
        <v>7</v>
      </c>
      <c r="J19" s="1">
        <v>7</v>
      </c>
      <c r="K19" s="1">
        <v>7</v>
      </c>
      <c r="L19" s="1">
        <v>7</v>
      </c>
      <c r="M19" s="1">
        <v>7</v>
      </c>
      <c r="N19" s="1">
        <v>7</v>
      </c>
      <c r="O19" s="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E73A-BF21-4771-A2AF-1B9A394A8B1D}">
  <dimension ref="A1:W69"/>
  <sheetViews>
    <sheetView tabSelected="1" topLeftCell="A2" workbookViewId="0">
      <selection activeCell="I44" sqref="I44"/>
    </sheetView>
  </sheetViews>
  <sheetFormatPr defaultRowHeight="14.4" x14ac:dyDescent="0.3"/>
  <cols>
    <col min="2" max="2" width="12.109375" bestFit="1" customWidth="1"/>
    <col min="15" max="15" width="20.5546875" bestFit="1" customWidth="1"/>
    <col min="22" max="22" width="31.109375" customWidth="1"/>
  </cols>
  <sheetData>
    <row r="1" spans="1:23" hidden="1" x14ac:dyDescent="0.3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3" x14ac:dyDescent="0.3">
      <c r="A2" s="8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2" t="s">
        <v>21</v>
      </c>
      <c r="P2" t="s">
        <v>24</v>
      </c>
      <c r="Q2" t="s">
        <v>25</v>
      </c>
      <c r="T2" t="s">
        <v>40</v>
      </c>
    </row>
    <row r="3" spans="1:23" x14ac:dyDescent="0.3">
      <c r="A3" s="8">
        <v>1</v>
      </c>
      <c r="B3" t="str" cm="1">
        <f t="array" ref="B3">_xlfn.SWITCH(VLOOKUP($A3, scenarios!$A$2:$N$19, B$1, 0), 0, "bare", 1, "short veg", 2, "cultivated", 3, "tall veg", 4, "wetland", 5, "short veg", 6, "cultivated", 7, "tall veg", 8, "water", 9, "snow/ice", 10, "cropland", 11, "built up")</f>
        <v>tall veg</v>
      </c>
      <c r="C3" t="str" cm="1">
        <f t="array" ref="C3">_xlfn.SWITCH(VLOOKUP($A3, scenarios!$A$2:$N$19, C$1, 0), 0, "bare", 1, "short veg", 2, "cultivated", 3, "tall veg", 4, "wetland", 5, "short veg", 6, "cultivated", 7, "tall veg", 8, "water", 9, "snow/ice", 10, "cropland", 11, "built up")</f>
        <v>short veg</v>
      </c>
      <c r="D3" t="str" cm="1">
        <f t="array" ref="D3">_xlfn.SWITCH(VLOOKUP($A3, scenarios!$A$2:$N$19, D$1, 0), 0, "bare", 1, "short veg", 2, "cultivated", 3, "tall veg", 4, "wetland", 5, "short veg", 6, "cultivated", 7, "tall veg", 8, "water", 9, "snow/ice", 10, "cropland", 11, "built up")</f>
        <v>tall veg</v>
      </c>
      <c r="E3" t="str" cm="1">
        <f t="array" ref="E3">_xlfn.SWITCH(VLOOKUP($A3, scenarios!$A$2:$N$19, E$1, 0), 0, "bare", 1, "short veg", 2, "cultivated", 3, "tall veg", 4, "wetland", 5, "short veg", 6, "cultivated", 7, "tall veg", 8, "water", 9, "snow/ice", 10, "cropland", 11, "built up")</f>
        <v>tall veg</v>
      </c>
      <c r="F3" t="str" cm="1">
        <f t="array" ref="F3">_xlfn.SWITCH(VLOOKUP($A3, scenarios!$A$2:$N$19, F$1, 0), 0, "bare", 1, "short veg", 2, "cultivated", 3, "tall veg", 4, "wetland", 5, "short veg", 6, "cultivated", 7, "tall veg", 8, "water", 9, "snow/ice", 10, "cropland", 11, "built up")</f>
        <v>tall veg</v>
      </c>
      <c r="G3" t="str" cm="1">
        <f t="array" ref="G3">_xlfn.SWITCH(VLOOKUP($A3, scenarios!$A$2:$N$19, G$1, 0), 0, "bare", 1, "short veg", 2, "cultivated", 3, "tall veg", 4, "wetland", 5, "short veg", 6, "cultivated", 7, "tall veg", 8, "water", 9, "snow/ice", 10, "cropland", 11, "built up")</f>
        <v>short veg</v>
      </c>
      <c r="H3" t="str" cm="1">
        <f t="array" ref="H3">_xlfn.SWITCH(VLOOKUP($A3, scenarios!$A$2:$N$19, H$1, 0), 0, "bare", 1, "short veg", 2, "cultivated", 3, "tall veg", 4, "wetland", 5, "short veg", 6, "cultivated", 7, "tall veg", 8, "water", 9, "snow/ice", 10, "cropland", 11, "built up")</f>
        <v>short veg</v>
      </c>
      <c r="I3" t="str" cm="1">
        <f t="array" ref="I3">_xlfn.SWITCH(VLOOKUP($A3, scenarios!$A$2:$N$19, I$1, 0), 0, "bare", 1, "short veg", 2, "cultivated", 3, "tall veg", 4, "wetland", 5, "short veg", 6, "cultivated", 7, "tall veg", 8, "water", 9, "snow/ice", 10, "cropland", 11, "built up")</f>
        <v>short veg</v>
      </c>
      <c r="J3" t="str" cm="1">
        <f t="array" ref="J3">_xlfn.SWITCH(VLOOKUP($A3, scenarios!$A$2:$N$19, J$1, 0), 0, "bare", 1, "short veg", 2, "cultivated", 3, "tall veg", 4, "wetland", 5, "short veg", 6, "cultivated", 7, "tall veg", 8, "water", 9, "snow/ice", 10, "cropland", 11, "built up")</f>
        <v>tall veg</v>
      </c>
      <c r="K3" t="str" cm="1">
        <f t="array" ref="K3">_xlfn.SWITCH(VLOOKUP($A3, scenarios!$A$2:$N$19, K$1, 0), 0, "bare", 1, "short veg", 2, "cultivated", 3, "tall veg", 4, "wetland", 5, "short veg", 6, "cultivated", 7, "tall veg", 8, "water", 9, "snow/ice", 10, "cropland", 11, "built up")</f>
        <v>tall veg</v>
      </c>
      <c r="L3" t="str" cm="1">
        <f t="array" ref="L3">_xlfn.SWITCH(VLOOKUP($A3, scenarios!$A$2:$N$19, L$1, 0), 0, "bare", 1, "short veg", 2, "cultivated", 3, "tall veg", 4, "wetland", 5, "short veg", 6, "cultivated", 7, "tall veg", 8, "water", 9, "snow/ice", 10, "cropland", 11, "built up")</f>
        <v>short veg</v>
      </c>
      <c r="M3" t="str" cm="1">
        <f t="array" ref="M3">_xlfn.SWITCH(VLOOKUP($A3, scenarios!$A$2:$N$19, M$1, 0), 0, "bare", 1, "short veg", 2, "cultivated", 3, "tall veg", 4, "wetland", 5, "short veg", 6, "cultivated", 7, "tall veg", 8, "water", 9, "snow/ice", 10, "cropland", 11, "built up")</f>
        <v>short veg</v>
      </c>
      <c r="N3" t="str" cm="1">
        <f t="array" ref="N3">_xlfn.SWITCH(VLOOKUP($A3, scenarios!$A$2:$N$19, N$1, 0), 0, "bare", 1, "short veg", 2, "cultivated", 3, "tall veg", 4, "wetland", 5, "short veg", 6, "cultivated", 7, "tall veg", 8, "water", 9, "snow/ice", 10, "cropland", 11, "built up")</f>
        <v>short veg</v>
      </c>
      <c r="O3" t="str" cm="1">
        <f t="array" ref="O3">IFERROR(_xlfn.SWITCH(VLOOKUP($A3, scenarios!$A$2:$Q$19, O$1, 0), 1, "Permanent agriculture", 2, "Hard commodities", 3, "Shifting cultivation", 4, "Logging", 5, "Wildfire", 6, "Settlements &amp; infrastructure", 7, "Other natural disturbances"), "")</f>
        <v/>
      </c>
      <c r="P3" t="str" cm="1">
        <f t="array" ref="P3">IFERROR(_xlfn.SWITCH(VLOOKUP($A3, scenarios!$A$2:$Q$19, P$1, 0), 1, "oil palm", 2, "wood fiber", 3, "other"), "")</f>
        <v/>
      </c>
      <c r="Q3" t="str" cm="1">
        <f t="array" ref="Q3">IFERROR(_xlfn.SWITCH(VLOOKUP($A3, scenarios!$A$2:$Q$19, Q$1, 0), 1, "yes"), "")</f>
        <v/>
      </c>
      <c r="T3" t="s">
        <v>47</v>
      </c>
    </row>
    <row r="4" spans="1:23" x14ac:dyDescent="0.3">
      <c r="A4" s="8">
        <v>2</v>
      </c>
      <c r="B4" t="str" cm="1">
        <f t="array" ref="B4">_xlfn.SWITCH(VLOOKUP($A4, scenarios!$A$2:$N$19, B$1, 0), 0, "bare", 1, "short veg", 2, "cultivated", 3, "tall veg", 4, "wetland", 5, "short veg", 6, "cultivated", 7, "tall veg", 8, "water", 9, "snow/ice", 10, "cropland", 11, "built up")</f>
        <v>tall veg</v>
      </c>
      <c r="C4" t="str" cm="1">
        <f t="array" ref="C4">_xlfn.SWITCH(VLOOKUP($A4, scenarios!$A$2:$N$19, C$1, 0), 0, "bare", 1, "short veg", 2, "cultivated", 3, "tall veg", 4, "wetland", 5, "short veg", 6, "cultivated", 7, "tall veg", 8, "water", 9, "snow/ice", 10, "cropland", 11, "built up")</f>
        <v>tall veg</v>
      </c>
      <c r="D4" t="str" cm="1">
        <f t="array" ref="D4">_xlfn.SWITCH(VLOOKUP($A4, scenarios!$A$2:$N$19, D$1, 0), 0, "bare", 1, "short veg", 2, "cultivated", 3, "tall veg", 4, "wetland", 5, "short veg", 6, "cultivated", 7, "tall veg", 8, "water", 9, "snow/ice", 10, "cropland", 11, "built up")</f>
        <v>tall veg</v>
      </c>
      <c r="E4" t="str" cm="1">
        <f t="array" ref="E4">_xlfn.SWITCH(VLOOKUP($A4, scenarios!$A$2:$N$19, E$1, 0), 0, "bare", 1, "short veg", 2, "cultivated", 3, "tall veg", 4, "wetland", 5, "short veg", 6, "cultivated", 7, "tall veg", 8, "water", 9, "snow/ice", 10, "cropland", 11, "built up")</f>
        <v>tall veg</v>
      </c>
      <c r="F4" t="str" cm="1">
        <f t="array" ref="F4">_xlfn.SWITCH(VLOOKUP($A4, scenarios!$A$2:$N$19, F$1, 0), 0, "bare", 1, "short veg", 2, "cultivated", 3, "tall veg", 4, "wetland", 5, "short veg", 6, "cultivated", 7, "tall veg", 8, "water", 9, "snow/ice", 10, "cropland", 11, "built up")</f>
        <v>tall veg</v>
      </c>
      <c r="G4" t="str" cm="1">
        <f t="array" ref="G4">_xlfn.SWITCH(VLOOKUP($A4, scenarios!$A$2:$N$19, G$1, 0), 0, "bare", 1, "short veg", 2, "cultivated", 3, "tall veg", 4, "wetland", 5, "short veg", 6, "cultivated", 7, "tall veg", 8, "water", 9, "snow/ice", 10, "cropland", 11, "built up")</f>
        <v>cultivated</v>
      </c>
      <c r="H4" t="str" cm="1">
        <f t="array" ref="H4">_xlfn.SWITCH(VLOOKUP($A4, scenarios!$A$2:$N$19, H$1, 0), 0, "bare", 1, "short veg", 2, "cultivated", 3, "tall veg", 4, "wetland", 5, "short veg", 6, "cultivated", 7, "tall veg", 8, "water", 9, "snow/ice", 10, "cropland", 11, "built up")</f>
        <v>cultivated</v>
      </c>
      <c r="I4" t="str" cm="1">
        <f t="array" ref="I4">_xlfn.SWITCH(VLOOKUP($A4, scenarios!$A$2:$N$19, I$1, 0), 0, "bare", 1, "short veg", 2, "cultivated", 3, "tall veg", 4, "wetland", 5, "short veg", 6, "cultivated", 7, "tall veg", 8, "water", 9, "snow/ice", 10, "cropland", 11, "built up")</f>
        <v>cultivated</v>
      </c>
      <c r="J4" t="str" cm="1">
        <f t="array" ref="J4">_xlfn.SWITCH(VLOOKUP($A4, scenarios!$A$2:$N$19, J$1, 0), 0, "bare", 1, "short veg", 2, "cultivated", 3, "tall veg", 4, "wetland", 5, "short veg", 6, "cultivated", 7, "tall veg", 8, "water", 9, "snow/ice", 10, "cropland", 11, "built up")</f>
        <v>tall veg</v>
      </c>
      <c r="K4" t="str" cm="1">
        <f t="array" ref="K4">_xlfn.SWITCH(VLOOKUP($A4, scenarios!$A$2:$N$19, K$1, 0), 0, "bare", 1, "short veg", 2, "cultivated", 3, "tall veg", 4, "wetland", 5, "short veg", 6, "cultivated", 7, "tall veg", 8, "water", 9, "snow/ice", 10, "cropland", 11, "built up")</f>
        <v>tall veg</v>
      </c>
      <c r="L4" t="str" cm="1">
        <f t="array" ref="L4">_xlfn.SWITCH(VLOOKUP($A4, scenarios!$A$2:$N$19, L$1, 0), 0, "bare", 1, "short veg", 2, "cultivated", 3, "tall veg", 4, "wetland", 5, "short veg", 6, "cultivated", 7, "tall veg", 8, "water", 9, "snow/ice", 10, "cropland", 11, "built up")</f>
        <v>cultivated</v>
      </c>
      <c r="M4" t="str" cm="1">
        <f t="array" ref="M4">_xlfn.SWITCH(VLOOKUP($A4, scenarios!$A$2:$N$19, M$1, 0), 0, "bare", 1, "short veg", 2, "cultivated", 3, "tall veg", 4, "wetland", 5, "short veg", 6, "cultivated", 7, "tall veg", 8, "water", 9, "snow/ice", 10, "cropland", 11, "built up")</f>
        <v>cultivated</v>
      </c>
      <c r="N4" t="str" cm="1">
        <f t="array" ref="N4">_xlfn.SWITCH(VLOOKUP($A4, scenarios!$A$2:$N$19, N$1, 0), 0, "bare", 1, "short veg", 2, "cultivated", 3, "tall veg", 4, "wetland", 5, "short veg", 6, "cultivated", 7, "tall veg", 8, "water", 9, "snow/ice", 10, "cropland", 11, "built up")</f>
        <v>cultivated</v>
      </c>
      <c r="O4" t="str" cm="1">
        <f t="array" ref="O4">IFERROR(_xlfn.SWITCH(VLOOKUP($A4, scenarios!$A$2:$Q$19, O$1, 0), 1, "Permanent agriculture", 2, "Hard commodities", 3, "Shifting cultivation", 4, "Logging", 5, "Wildfire", 6, "Settlements &amp; infrastructure", 7, "Other natural disturbances"), "")</f>
        <v/>
      </c>
      <c r="P4" t="str" cm="1">
        <f t="array" ref="P4">IFERROR(_xlfn.SWITCH(VLOOKUP($A4, scenarios!$A$2:$Q$19, P$1, 0), 1, "oil palm", 2, "wood fiber", 3, "other"), "")</f>
        <v/>
      </c>
      <c r="Q4" t="str" cm="1">
        <f t="array" ref="Q4">IFERROR(_xlfn.SWITCH(VLOOKUP($A4, scenarios!$A$2:$Q$19, Q$1, 0), 1, "yes"), "")</f>
        <v/>
      </c>
      <c r="T4" t="s">
        <v>48</v>
      </c>
    </row>
    <row r="5" spans="1:23" x14ac:dyDescent="0.3">
      <c r="A5" s="8">
        <v>3</v>
      </c>
      <c r="B5" t="str" cm="1">
        <f t="array" ref="B5">_xlfn.SWITCH(VLOOKUP($A5, scenarios!$A$2:$N$19, B$1, 0), 0, "bare", 1, "short veg", 2, "cultivated", 3, "tall veg", 4, "wetland", 5, "short veg", 6, "cultivated", 7, "tall veg", 8, "water", 9, "snow/ice", 10, "cropland", 11, "built up")</f>
        <v>tall veg</v>
      </c>
      <c r="C5" t="str" cm="1">
        <f t="array" ref="C5">_xlfn.SWITCH(VLOOKUP($A5, scenarios!$A$2:$N$19, C$1, 0), 0, "bare", 1, "short veg", 2, "cultivated", 3, "tall veg", 4, "wetland", 5, "short veg", 6, "cultivated", 7, "tall veg", 8, "water", 9, "snow/ice", 10, "cropland", 11, "built up")</f>
        <v>short veg</v>
      </c>
      <c r="D5" t="str" cm="1">
        <f t="array" ref="D5">_xlfn.SWITCH(VLOOKUP($A5, scenarios!$A$2:$N$19, D$1, 0), 0, "bare", 1, "short veg", 2, "cultivated", 3, "tall veg", 4, "wetland", 5, "short veg", 6, "cultivated", 7, "tall veg", 8, "water", 9, "snow/ice", 10, "cropland", 11, "built up")</f>
        <v>tall veg</v>
      </c>
      <c r="E5" t="str" cm="1">
        <f t="array" ref="E5">_xlfn.SWITCH(VLOOKUP($A5, scenarios!$A$2:$N$19, E$1, 0), 0, "bare", 1, "short veg", 2, "cultivated", 3, "tall veg", 4, "wetland", 5, "short veg", 6, "cultivated", 7, "tall veg", 8, "water", 9, "snow/ice", 10, "cropland", 11, "built up")</f>
        <v>tall veg</v>
      </c>
      <c r="F5" t="str" cm="1">
        <f t="array" ref="F5">_xlfn.SWITCH(VLOOKUP($A5, scenarios!$A$2:$N$19, F$1, 0), 0, "bare", 1, "short veg", 2, "cultivated", 3, "tall veg", 4, "wetland", 5, "short veg", 6, "cultivated", 7, "tall veg", 8, "water", 9, "snow/ice", 10, "cropland", 11, "built up")</f>
        <v>tall veg</v>
      </c>
      <c r="G5" t="str" cm="1">
        <f t="array" ref="G5">_xlfn.SWITCH(VLOOKUP($A5, scenarios!$A$2:$N$19, G$1, 0), 0, "bare", 1, "short veg", 2, "cultivated", 3, "tall veg", 4, "wetland", 5, "short veg", 6, "cultivated", 7, "tall veg", 8, "water", 9, "snow/ice", 10, "cropland", 11, "built up")</f>
        <v>short veg</v>
      </c>
      <c r="H5" t="str" cm="1">
        <f t="array" ref="H5">_xlfn.SWITCH(VLOOKUP($A5, scenarios!$A$2:$N$19, H$1, 0), 0, "bare", 1, "short veg", 2, "cultivated", 3, "tall veg", 4, "wetland", 5, "short veg", 6, "cultivated", 7, "tall veg", 8, "water", 9, "snow/ice", 10, "cropland", 11, "built up")</f>
        <v>short veg</v>
      </c>
      <c r="I5" t="str" cm="1">
        <f t="array" ref="I5">_xlfn.SWITCH(VLOOKUP($A5, scenarios!$A$2:$N$19, I$1, 0), 0, "bare", 1, "short veg", 2, "cultivated", 3, "tall veg", 4, "wetland", 5, "short veg", 6, "cultivated", 7, "tall veg", 8, "water", 9, "snow/ice", 10, "cropland", 11, "built up")</f>
        <v>short veg</v>
      </c>
      <c r="J5" t="str" cm="1">
        <f t="array" ref="J5">_xlfn.SWITCH(VLOOKUP($A5, scenarios!$A$2:$N$19, J$1, 0), 0, "bare", 1, "short veg", 2, "cultivated", 3, "tall veg", 4, "wetland", 5, "short veg", 6, "cultivated", 7, "tall veg", 8, "water", 9, "snow/ice", 10, "cropland", 11, "built up")</f>
        <v>tall veg</v>
      </c>
      <c r="K5" t="str" cm="1">
        <f t="array" ref="K5">_xlfn.SWITCH(VLOOKUP($A5, scenarios!$A$2:$N$19, K$1, 0), 0, "bare", 1, "short veg", 2, "cultivated", 3, "tall veg", 4, "wetland", 5, "short veg", 6, "cultivated", 7, "tall veg", 8, "water", 9, "snow/ice", 10, "cropland", 11, "built up")</f>
        <v>tall veg</v>
      </c>
      <c r="L5" t="str" cm="1">
        <f t="array" ref="L5">_xlfn.SWITCH(VLOOKUP($A5, scenarios!$A$2:$N$19, L$1, 0), 0, "bare", 1, "short veg", 2, "cultivated", 3, "tall veg", 4, "wetland", 5, "short veg", 6, "cultivated", 7, "tall veg", 8, "water", 9, "snow/ice", 10, "cropland", 11, "built up")</f>
        <v>short veg</v>
      </c>
      <c r="M5" t="str" cm="1">
        <f t="array" ref="M5">_xlfn.SWITCH(VLOOKUP($A5, scenarios!$A$2:$N$19, M$1, 0), 0, "bare", 1, "short veg", 2, "cultivated", 3, "tall veg", 4, "wetland", 5, "short veg", 6, "cultivated", 7, "tall veg", 8, "water", 9, "snow/ice", 10, "cropland", 11, "built up")</f>
        <v>short veg</v>
      </c>
      <c r="N5" t="str" cm="1">
        <f t="array" ref="N5">_xlfn.SWITCH(VLOOKUP($A5, scenarios!$A$2:$N$19, N$1, 0), 0, "bare", 1, "short veg", 2, "cultivated", 3, "tall veg", 4, "wetland", 5, "short veg", 6, "cultivated", 7, "tall veg", 8, "water", 9, "snow/ice", 10, "cropland", 11, "built up")</f>
        <v>short veg</v>
      </c>
      <c r="O5" t="str" cm="1">
        <f t="array" ref="O5">IFERROR(_xlfn.SWITCH(VLOOKUP($A5, scenarios!$A$2:$Q$19, O$1, 0), 1, "Permanent agriculture", 2, "Hard commodities", 3, "Shifting cultivation", 4, "Logging", 5, "Wildfire", 6, "Settlements &amp; infrastructure", 7, "Other natural disturbances"), "")</f>
        <v>Logging</v>
      </c>
      <c r="P5" t="str" cm="1">
        <f t="array" ref="P5">IFERROR(_xlfn.SWITCH(VLOOKUP($A5, scenarios!$A$2:$Q$19, P$1, 0), 1, "oil palm", 2, "wood fiber", 3, "other"), "")</f>
        <v/>
      </c>
      <c r="Q5" t="str" cm="1">
        <f t="array" ref="Q5">IFERROR(_xlfn.SWITCH(VLOOKUP($A5, scenarios!$A$2:$Q$19, Q$1, 0), 1, "yes"), "")</f>
        <v/>
      </c>
      <c r="T5" t="s">
        <v>47</v>
      </c>
    </row>
    <row r="6" spans="1:23" x14ac:dyDescent="0.3">
      <c r="A6" s="8">
        <v>4</v>
      </c>
      <c r="B6" t="str" cm="1">
        <f t="array" ref="B6">_xlfn.SWITCH(VLOOKUP($A6, scenarios!$A$2:$N$19, B$1, 0), 0, "bare", 1, "short veg", 2, "cultivated", 3, "tall veg", 4, "wetland", 5, "short veg", 6, "cultivated", 7, "tall veg", 8, "water", 9, "snow/ice", 10, "cropland", 11, "built up")</f>
        <v>tall veg</v>
      </c>
      <c r="C6" t="str" cm="1">
        <f t="array" ref="C6">_xlfn.SWITCH(VLOOKUP($A6, scenarios!$A$2:$N$19, C$1, 0), 0, "bare", 1, "short veg", 2, "cultivated", 3, "tall veg", 4, "wetland", 5, "short veg", 6, "cultivated", 7, "tall veg", 8, "water", 9, "snow/ice", 10, "cropland", 11, "built up")</f>
        <v>tall veg</v>
      </c>
      <c r="D6" t="str" cm="1">
        <f t="array" ref="D6">_xlfn.SWITCH(VLOOKUP($A6, scenarios!$A$2:$N$19, D$1, 0), 0, "bare", 1, "short veg", 2, "cultivated", 3, "tall veg", 4, "wetland", 5, "short veg", 6, "cultivated", 7, "tall veg", 8, "water", 9, "snow/ice", 10, "cropland", 11, "built up")</f>
        <v>tall veg</v>
      </c>
      <c r="E6" t="str" cm="1">
        <f t="array" ref="E6">_xlfn.SWITCH(VLOOKUP($A6, scenarios!$A$2:$N$19, E$1, 0), 0, "bare", 1, "short veg", 2, "cultivated", 3, "tall veg", 4, "wetland", 5, "short veg", 6, "cultivated", 7, "tall veg", 8, "water", 9, "snow/ice", 10, "cropland", 11, "built up")</f>
        <v>tall veg</v>
      </c>
      <c r="F6" t="str" cm="1">
        <f t="array" ref="F6">_xlfn.SWITCH(VLOOKUP($A6, scenarios!$A$2:$N$19, F$1, 0), 0, "bare", 1, "short veg", 2, "cultivated", 3, "tall veg", 4, "wetland", 5, "short veg", 6, "cultivated", 7, "tall veg", 8, "water", 9, "snow/ice", 10, "cropland", 11, "built up")</f>
        <v>tall veg</v>
      </c>
      <c r="G6" t="str" cm="1">
        <f t="array" ref="G6">_xlfn.SWITCH(VLOOKUP($A6, scenarios!$A$2:$N$19, G$1, 0), 0, "bare", 1, "short veg", 2, "cultivated", 3, "tall veg", 4, "wetland", 5, "short veg", 6, "cultivated", 7, "tall veg", 8, "water", 9, "snow/ice", 10, "cropland", 11, "built up")</f>
        <v>cultivated</v>
      </c>
      <c r="H6" t="str" cm="1">
        <f t="array" ref="H6">_xlfn.SWITCH(VLOOKUP($A6, scenarios!$A$2:$N$19, H$1, 0), 0, "bare", 1, "short veg", 2, "cultivated", 3, "tall veg", 4, "wetland", 5, "short veg", 6, "cultivated", 7, "tall veg", 8, "water", 9, "snow/ice", 10, "cropland", 11, "built up")</f>
        <v>cultivated</v>
      </c>
      <c r="I6" t="str" cm="1">
        <f t="array" ref="I6">_xlfn.SWITCH(VLOOKUP($A6, scenarios!$A$2:$N$19, I$1, 0), 0, "bare", 1, "short veg", 2, "cultivated", 3, "tall veg", 4, "wetland", 5, "short veg", 6, "cultivated", 7, "tall veg", 8, "water", 9, "snow/ice", 10, "cropland", 11, "built up")</f>
        <v>cultivated</v>
      </c>
      <c r="J6" t="str" cm="1">
        <f t="array" ref="J6">_xlfn.SWITCH(VLOOKUP($A6, scenarios!$A$2:$N$19, J$1, 0), 0, "bare", 1, "short veg", 2, "cultivated", 3, "tall veg", 4, "wetland", 5, "short veg", 6, "cultivated", 7, "tall veg", 8, "water", 9, "snow/ice", 10, "cropland", 11, "built up")</f>
        <v>tall veg</v>
      </c>
      <c r="K6" t="str" cm="1">
        <f t="array" ref="K6">_xlfn.SWITCH(VLOOKUP($A6, scenarios!$A$2:$N$19, K$1, 0), 0, "bare", 1, "short veg", 2, "cultivated", 3, "tall veg", 4, "wetland", 5, "short veg", 6, "cultivated", 7, "tall veg", 8, "water", 9, "snow/ice", 10, "cropland", 11, "built up")</f>
        <v>tall veg</v>
      </c>
      <c r="L6" t="str" cm="1">
        <f t="array" ref="L6">_xlfn.SWITCH(VLOOKUP($A6, scenarios!$A$2:$N$19, L$1, 0), 0, "bare", 1, "short veg", 2, "cultivated", 3, "tall veg", 4, "wetland", 5, "short veg", 6, "cultivated", 7, "tall veg", 8, "water", 9, "snow/ice", 10, "cropland", 11, "built up")</f>
        <v>cultivated</v>
      </c>
      <c r="M6" t="str" cm="1">
        <f t="array" ref="M6">_xlfn.SWITCH(VLOOKUP($A6, scenarios!$A$2:$N$19, M$1, 0), 0, "bare", 1, "short veg", 2, "cultivated", 3, "tall veg", 4, "wetland", 5, "short veg", 6, "cultivated", 7, "tall veg", 8, "water", 9, "snow/ice", 10, "cropland", 11, "built up")</f>
        <v>cultivated</v>
      </c>
      <c r="N6" t="str" cm="1">
        <f t="array" ref="N6">_xlfn.SWITCH(VLOOKUP($A6, scenarios!$A$2:$N$19, N$1, 0), 0, "bare", 1, "short veg", 2, "cultivated", 3, "tall veg", 4, "wetland", 5, "short veg", 6, "cultivated", 7, "tall veg", 8, "water", 9, "snow/ice", 10, "cropland", 11, "built up")</f>
        <v>cultivated</v>
      </c>
      <c r="O6" t="str" cm="1">
        <f t="array" ref="O6">IFERROR(_xlfn.SWITCH(VLOOKUP($A6, scenarios!$A$2:$Q$19, O$1, 0), 1, "Permanent agriculture", 2, "Hard commodities", 3, "Shifting cultivation", 4, "Logging", 5, "Wildfire", 6, "Settlements &amp; infrastructure", 7, "Other natural disturbances"), "")</f>
        <v>Logging</v>
      </c>
      <c r="P6" t="str" cm="1">
        <f t="array" ref="P6">IFERROR(_xlfn.SWITCH(VLOOKUP($A6, scenarios!$A$2:$Q$19, P$1, 0), 1, "oil palm", 2, "wood fiber", 3, "other"), "")</f>
        <v/>
      </c>
      <c r="Q6" t="str" cm="1">
        <f t="array" ref="Q6">IFERROR(_xlfn.SWITCH(VLOOKUP($A6, scenarios!$A$2:$Q$19, Q$1, 0), 1, "yes"), "")</f>
        <v/>
      </c>
      <c r="T6" t="s">
        <v>49</v>
      </c>
    </row>
    <row r="7" spans="1:23" x14ac:dyDescent="0.3">
      <c r="A7" s="8">
        <v>5</v>
      </c>
      <c r="B7" t="str" cm="1">
        <f t="array" ref="B7">_xlfn.SWITCH(VLOOKUP($A7, scenarios!$A$2:$N$19, B$1, 0), 0, "bare", 1, "short veg", 2, "cultivated", 3, "tall veg", 4, "wetland", 5, "short veg", 6, "cultivated", 7, "tall veg", 8, "water", 9, "snow/ice", 10, "cropland", 11, "built up")</f>
        <v>short veg</v>
      </c>
      <c r="C7" t="str" cm="1">
        <f t="array" ref="C7">_xlfn.SWITCH(VLOOKUP($A7, scenarios!$A$2:$N$19, C$1, 0), 0, "bare", 1, "short veg", 2, "cultivated", 3, "tall veg", 4, "wetland", 5, "short veg", 6, "cultivated", 7, "tall veg", 8, "water", 9, "snow/ice", 10, "cropland", 11, "built up")</f>
        <v>short veg</v>
      </c>
      <c r="D7" t="str" cm="1">
        <f t="array" ref="D7">_xlfn.SWITCH(VLOOKUP($A7, scenarios!$A$2:$N$19, D$1, 0), 0, "bare", 1, "short veg", 2, "cultivated", 3, "tall veg", 4, "wetland", 5, "short veg", 6, "cultivated", 7, "tall veg", 8, "water", 9, "snow/ice", 10, "cropland", 11, "built up")</f>
        <v>short veg</v>
      </c>
      <c r="E7" t="str" cm="1">
        <f t="array" ref="E7">_xlfn.SWITCH(VLOOKUP($A7, scenarios!$A$2:$N$19, E$1, 0), 0, "bare", 1, "short veg", 2, "cultivated", 3, "tall veg", 4, "wetland", 5, "short veg", 6, "cultivated", 7, "tall veg", 8, "water", 9, "snow/ice", 10, "cropland", 11, "built up")</f>
        <v>tall veg</v>
      </c>
      <c r="F7" t="str" cm="1">
        <f t="array" ref="F7">_xlfn.SWITCH(VLOOKUP($A7, scenarios!$A$2:$N$19, F$1, 0), 0, "bare", 1, "short veg", 2, "cultivated", 3, "tall veg", 4, "wetland", 5, "short veg", 6, "cultivated", 7, "tall veg", 8, "water", 9, "snow/ice", 10, "cropland", 11, "built up")</f>
        <v>tall veg</v>
      </c>
      <c r="G7" t="str" cm="1">
        <f t="array" ref="G7">_xlfn.SWITCH(VLOOKUP($A7, scenarios!$A$2:$N$19, G$1, 0), 0, "bare", 1, "short veg", 2, "cultivated", 3, "tall veg", 4, "wetland", 5, "short veg", 6, "cultivated", 7, "tall veg", 8, "water", 9, "snow/ice", 10, "cropland", 11, "built up")</f>
        <v>short veg</v>
      </c>
      <c r="H7" t="str" cm="1">
        <f t="array" ref="H7">_xlfn.SWITCH(VLOOKUP($A7, scenarios!$A$2:$N$19, H$1, 0), 0, "bare", 1, "short veg", 2, "cultivated", 3, "tall veg", 4, "wetland", 5, "short veg", 6, "cultivated", 7, "tall veg", 8, "water", 9, "snow/ice", 10, "cropland", 11, "built up")</f>
        <v>short veg</v>
      </c>
      <c r="I7" t="str" cm="1">
        <f t="array" ref="I7">_xlfn.SWITCH(VLOOKUP($A7, scenarios!$A$2:$N$19, I$1, 0), 0, "bare", 1, "short veg", 2, "cultivated", 3, "tall veg", 4, "wetland", 5, "short veg", 6, "cultivated", 7, "tall veg", 8, "water", 9, "snow/ice", 10, "cropland", 11, "built up")</f>
        <v>short veg</v>
      </c>
      <c r="J7" t="str" cm="1">
        <f t="array" ref="J7">_xlfn.SWITCH(VLOOKUP($A7, scenarios!$A$2:$N$19, J$1, 0), 0, "bare", 1, "short veg", 2, "cultivated", 3, "tall veg", 4, "wetland", 5, "short veg", 6, "cultivated", 7, "tall veg", 8, "water", 9, "snow/ice", 10, "cropland", 11, "built up")</f>
        <v>tall veg</v>
      </c>
      <c r="K7" t="str" cm="1">
        <f t="array" ref="K7">_xlfn.SWITCH(VLOOKUP($A7, scenarios!$A$2:$N$19, K$1, 0), 0, "bare", 1, "short veg", 2, "cultivated", 3, "tall veg", 4, "wetland", 5, "short veg", 6, "cultivated", 7, "tall veg", 8, "water", 9, "snow/ice", 10, "cropland", 11, "built up")</f>
        <v>tall veg</v>
      </c>
      <c r="L7" t="str" cm="1">
        <f t="array" ref="L7">_xlfn.SWITCH(VLOOKUP($A7, scenarios!$A$2:$N$19, L$1, 0), 0, "bare", 1, "short veg", 2, "cultivated", 3, "tall veg", 4, "wetland", 5, "short veg", 6, "cultivated", 7, "tall veg", 8, "water", 9, "snow/ice", 10, "cropland", 11, "built up")</f>
        <v>short veg</v>
      </c>
      <c r="M7" t="str" cm="1">
        <f t="array" ref="M7">_xlfn.SWITCH(VLOOKUP($A7, scenarios!$A$2:$N$19, M$1, 0), 0, "bare", 1, "short veg", 2, "cultivated", 3, "tall veg", 4, "wetland", 5, "short veg", 6, "cultivated", 7, "tall veg", 8, "water", 9, "snow/ice", 10, "cropland", 11, "built up")</f>
        <v>short veg</v>
      </c>
      <c r="N7" t="str" cm="1">
        <f t="array" ref="N7">_xlfn.SWITCH(VLOOKUP($A7, scenarios!$A$2:$N$19, N$1, 0), 0, "bare", 1, "short veg", 2, "cultivated", 3, "tall veg", 4, "wetland", 5, "short veg", 6, "cultivated", 7, "tall veg", 8, "water", 9, "snow/ice", 10, "cropland", 11, "built up")</f>
        <v>short veg</v>
      </c>
      <c r="O7" t="str" cm="1">
        <f t="array" ref="O7">IFERROR(_xlfn.SWITCH(VLOOKUP($A7, scenarios!$A$2:$Q$19, O$1, 0), 1, "Permanent agriculture", 2, "Hard commodities", 3, "Shifting cultivation", 4, "Logging", 5, "Wildfire", 6, "Settlements &amp; infrastructure", 7, "Other natural disturbances"), "")</f>
        <v/>
      </c>
      <c r="P7" t="str" cm="1">
        <f t="array" ref="P7">IFERROR(_xlfn.SWITCH(VLOOKUP($A7, scenarios!$A$2:$Q$19, P$1, 0), 1, "oil palm", 2, "wood fiber", 3, "other"), "")</f>
        <v>wood fiber</v>
      </c>
      <c r="Q7" t="str" cm="1">
        <f t="array" ref="Q7">IFERROR(_xlfn.SWITCH(VLOOKUP($A7, scenarios!$A$2:$Q$19, Q$1, 0), 1, "yes"), "")</f>
        <v/>
      </c>
      <c r="T7" t="s">
        <v>41</v>
      </c>
    </row>
    <row r="8" spans="1:23" x14ac:dyDescent="0.3">
      <c r="A8" s="8">
        <v>6</v>
      </c>
      <c r="B8" t="str" cm="1">
        <f t="array" ref="B8">_xlfn.SWITCH(VLOOKUP($A8, scenarios!$A$2:$N$19, B$1, 0), 0, "bare", 1, "short veg", 2, "cultivated", 3, "tall veg", 4, "wetland", 5, "short veg", 6, "cultivated", 7, "tall veg", 8, "water", 9, "snow/ice", 10, "cropland", 11, "built up")</f>
        <v>cultivated</v>
      </c>
      <c r="C8" t="str" cm="1">
        <f t="array" ref="C8">_xlfn.SWITCH(VLOOKUP($A8, scenarios!$A$2:$N$19, C$1, 0), 0, "bare", 1, "short veg", 2, "cultivated", 3, "tall veg", 4, "wetland", 5, "short veg", 6, "cultivated", 7, "tall veg", 8, "water", 9, "snow/ice", 10, "cropland", 11, "built up")</f>
        <v>cultivated</v>
      </c>
      <c r="D8" t="str" cm="1">
        <f t="array" ref="D8">_xlfn.SWITCH(VLOOKUP($A8, scenarios!$A$2:$N$19, D$1, 0), 0, "bare", 1, "short veg", 2, "cultivated", 3, "tall veg", 4, "wetland", 5, "short veg", 6, "cultivated", 7, "tall veg", 8, "water", 9, "snow/ice", 10, "cropland", 11, "built up")</f>
        <v>cultivated</v>
      </c>
      <c r="E8" t="str" cm="1">
        <f t="array" ref="E8">_xlfn.SWITCH(VLOOKUP($A8, scenarios!$A$2:$N$19, E$1, 0), 0, "bare", 1, "short veg", 2, "cultivated", 3, "tall veg", 4, "wetland", 5, "short veg", 6, "cultivated", 7, "tall veg", 8, "water", 9, "snow/ice", 10, "cropland", 11, "built up")</f>
        <v>tall veg</v>
      </c>
      <c r="F8" t="str" cm="1">
        <f t="array" ref="F8">_xlfn.SWITCH(VLOOKUP($A8, scenarios!$A$2:$N$19, F$1, 0), 0, "bare", 1, "short veg", 2, "cultivated", 3, "tall veg", 4, "wetland", 5, "short veg", 6, "cultivated", 7, "tall veg", 8, "water", 9, "snow/ice", 10, "cropland", 11, "built up")</f>
        <v>tall veg</v>
      </c>
      <c r="G8" t="str" cm="1">
        <f t="array" ref="G8">_xlfn.SWITCH(VLOOKUP($A8, scenarios!$A$2:$N$19, G$1, 0), 0, "bare", 1, "short veg", 2, "cultivated", 3, "tall veg", 4, "wetland", 5, "short veg", 6, "cultivated", 7, "tall veg", 8, "water", 9, "snow/ice", 10, "cropland", 11, "built up")</f>
        <v>cultivated</v>
      </c>
      <c r="H8" t="str" cm="1">
        <f t="array" ref="H8">_xlfn.SWITCH(VLOOKUP($A8, scenarios!$A$2:$N$19, H$1, 0), 0, "bare", 1, "short veg", 2, "cultivated", 3, "tall veg", 4, "wetland", 5, "short veg", 6, "cultivated", 7, "tall veg", 8, "water", 9, "snow/ice", 10, "cropland", 11, "built up")</f>
        <v>cultivated</v>
      </c>
      <c r="I8" t="str" cm="1">
        <f t="array" ref="I8">_xlfn.SWITCH(VLOOKUP($A8, scenarios!$A$2:$N$19, I$1, 0), 0, "bare", 1, "short veg", 2, "cultivated", 3, "tall veg", 4, "wetland", 5, "short veg", 6, "cultivated", 7, "tall veg", 8, "water", 9, "snow/ice", 10, "cropland", 11, "built up")</f>
        <v>cultivated</v>
      </c>
      <c r="J8" t="str" cm="1">
        <f t="array" ref="J8">_xlfn.SWITCH(VLOOKUP($A8, scenarios!$A$2:$N$19, J$1, 0), 0, "bare", 1, "short veg", 2, "cultivated", 3, "tall veg", 4, "wetland", 5, "short veg", 6, "cultivated", 7, "tall veg", 8, "water", 9, "snow/ice", 10, "cropland", 11, "built up")</f>
        <v>tall veg</v>
      </c>
      <c r="K8" t="str" cm="1">
        <f t="array" ref="K8">_xlfn.SWITCH(VLOOKUP($A8, scenarios!$A$2:$N$19, K$1, 0), 0, "bare", 1, "short veg", 2, "cultivated", 3, "tall veg", 4, "wetland", 5, "short veg", 6, "cultivated", 7, "tall veg", 8, "water", 9, "snow/ice", 10, "cropland", 11, "built up")</f>
        <v>tall veg</v>
      </c>
      <c r="L8" t="str" cm="1">
        <f t="array" ref="L8">_xlfn.SWITCH(VLOOKUP($A8, scenarios!$A$2:$N$19, L$1, 0), 0, "bare", 1, "short veg", 2, "cultivated", 3, "tall veg", 4, "wetland", 5, "short veg", 6, "cultivated", 7, "tall veg", 8, "water", 9, "snow/ice", 10, "cropland", 11, "built up")</f>
        <v>cultivated</v>
      </c>
      <c r="M8" t="str" cm="1">
        <f t="array" ref="M8">_xlfn.SWITCH(VLOOKUP($A8, scenarios!$A$2:$N$19, M$1, 0), 0, "bare", 1, "short veg", 2, "cultivated", 3, "tall veg", 4, "wetland", 5, "short veg", 6, "cultivated", 7, "tall veg", 8, "water", 9, "snow/ice", 10, "cropland", 11, "built up")</f>
        <v>cultivated</v>
      </c>
      <c r="N8" t="str" cm="1">
        <f t="array" ref="N8">_xlfn.SWITCH(VLOOKUP($A8, scenarios!$A$2:$N$19, N$1, 0), 0, "bare", 1, "short veg", 2, "cultivated", 3, "tall veg", 4, "wetland", 5, "short veg", 6, "cultivated", 7, "tall veg", 8, "water", 9, "snow/ice", 10, "cropland", 11, "built up")</f>
        <v>cultivated</v>
      </c>
      <c r="O8" t="str" cm="1">
        <f t="array" ref="O8">IFERROR(_xlfn.SWITCH(VLOOKUP($A8, scenarios!$A$2:$Q$19, O$1, 0), 1, "Permanent agriculture", 2, "Hard commodities", 3, "Shifting cultivation", 4, "Logging", 5, "Wildfire", 6, "Settlements &amp; infrastructure", 7, "Other natural disturbances"), "")</f>
        <v/>
      </c>
      <c r="P8" t="str" cm="1">
        <f t="array" ref="P8">IFERROR(_xlfn.SWITCH(VLOOKUP($A8, scenarios!$A$2:$Q$19, P$1, 0), 1, "oil palm", 2, "wood fiber", 3, "other"), "")</f>
        <v>wood fiber</v>
      </c>
      <c r="Q8" t="str" cm="1">
        <f t="array" ref="Q8">IFERROR(_xlfn.SWITCH(VLOOKUP($A8, scenarios!$A$2:$Q$19, Q$1, 0), 1, "yes"), "")</f>
        <v/>
      </c>
      <c r="T8" t="s">
        <v>42</v>
      </c>
    </row>
    <row r="9" spans="1:23" x14ac:dyDescent="0.3">
      <c r="A9" s="8">
        <v>7</v>
      </c>
      <c r="B9" t="str" cm="1">
        <f t="array" ref="B9">_xlfn.SWITCH(VLOOKUP($A9, scenarios!$A$2:$N$19, B$1, 0), 0, "bare", 1, "short veg", 2, "cultivated", 3, "tall veg", 4, "wetland", 5, "short veg", 6, "cultivated", 7, "tall veg", 8, "water", 9, "snow/ice", 10, "cropland", 11, "built up")</f>
        <v>tall veg</v>
      </c>
      <c r="C9" t="str" cm="1">
        <f t="array" ref="C9">_xlfn.SWITCH(VLOOKUP($A9, scenarios!$A$2:$N$19, C$1, 0), 0, "bare", 1, "short veg", 2, "cultivated", 3, "tall veg", 4, "wetland", 5, "short veg", 6, "cultivated", 7, "tall veg", 8, "water", 9, "snow/ice", 10, "cropland", 11, "built up")</f>
        <v>tall veg</v>
      </c>
      <c r="D9" t="str" cm="1">
        <f t="array" ref="D9">_xlfn.SWITCH(VLOOKUP($A9, scenarios!$A$2:$N$19, D$1, 0), 0, "bare", 1, "short veg", 2, "cultivated", 3, "tall veg", 4, "wetland", 5, "short veg", 6, "cultivated", 7, "tall veg", 8, "water", 9, "snow/ice", 10, "cropland", 11, "built up")</f>
        <v>tall veg</v>
      </c>
      <c r="E9" t="str" cm="1">
        <f t="array" ref="E9">_xlfn.SWITCH(VLOOKUP($A9, scenarios!$A$2:$N$19, E$1, 0), 0, "bare", 1, "short veg", 2, "cultivated", 3, "tall veg", 4, "wetland", 5, "short veg", 6, "cultivated", 7, "tall veg", 8, "water", 9, "snow/ice", 10, "cropland", 11, "built up")</f>
        <v>tall veg</v>
      </c>
      <c r="F9" t="str" cm="1">
        <f t="array" ref="F9">_xlfn.SWITCH(VLOOKUP($A9, scenarios!$A$2:$N$19, F$1, 0), 0, "bare", 1, "short veg", 2, "cultivated", 3, "tall veg", 4, "wetland", 5, "short veg", 6, "cultivated", 7, "tall veg", 8, "water", 9, "snow/ice", 10, "cropland", 11, "built up")</f>
        <v>tall veg</v>
      </c>
      <c r="G9" t="str" cm="1">
        <f t="array" ref="G9">_xlfn.SWITCH(VLOOKUP($A9, scenarios!$A$2:$N$19, G$1, 0), 0, "bare", 1, "short veg", 2, "cultivated", 3, "tall veg", 4, "wetland", 5, "short veg", 6, "cultivated", 7, "tall veg", 8, "water", 9, "snow/ice", 10, "cropland", 11, "built up")</f>
        <v>short veg</v>
      </c>
      <c r="H9" t="str" cm="1">
        <f t="array" ref="H9">_xlfn.SWITCH(VLOOKUP($A9, scenarios!$A$2:$N$19, H$1, 0), 0, "bare", 1, "short veg", 2, "cultivated", 3, "tall veg", 4, "wetland", 5, "short veg", 6, "cultivated", 7, "tall veg", 8, "water", 9, "snow/ice", 10, "cropland", 11, "built up")</f>
        <v>short veg</v>
      </c>
      <c r="I9" t="str" cm="1">
        <f t="array" ref="I9">_xlfn.SWITCH(VLOOKUP($A9, scenarios!$A$2:$N$19, I$1, 0), 0, "bare", 1, "short veg", 2, "cultivated", 3, "tall veg", 4, "wetland", 5, "short veg", 6, "cultivated", 7, "tall veg", 8, "water", 9, "snow/ice", 10, "cropland", 11, "built up")</f>
        <v>short veg</v>
      </c>
      <c r="J9" t="str" cm="1">
        <f t="array" ref="J9">_xlfn.SWITCH(VLOOKUP($A9, scenarios!$A$2:$N$19, J$1, 0), 0, "bare", 1, "short veg", 2, "cultivated", 3, "tall veg", 4, "wetland", 5, "short veg", 6, "cultivated", 7, "tall veg", 8, "water", 9, "snow/ice", 10, "cropland", 11, "built up")</f>
        <v>short veg</v>
      </c>
      <c r="K9" t="str" cm="1">
        <f t="array" ref="K9">_xlfn.SWITCH(VLOOKUP($A9, scenarios!$A$2:$N$19, K$1, 0), 0, "bare", 1, "short veg", 2, "cultivated", 3, "tall veg", 4, "wetland", 5, "short veg", 6, "cultivated", 7, "tall veg", 8, "water", 9, "snow/ice", 10, "cropland", 11, "built up")</f>
        <v>short veg</v>
      </c>
      <c r="L9" t="str" cm="1">
        <f t="array" ref="L9">_xlfn.SWITCH(VLOOKUP($A9, scenarios!$A$2:$N$19, L$1, 0), 0, "bare", 1, "short veg", 2, "cultivated", 3, "tall veg", 4, "wetland", 5, "short veg", 6, "cultivated", 7, "tall veg", 8, "water", 9, "snow/ice", 10, "cropland", 11, "built up")</f>
        <v>short veg</v>
      </c>
      <c r="M9" t="str" cm="1">
        <f t="array" ref="M9">_xlfn.SWITCH(VLOOKUP($A9, scenarios!$A$2:$N$19, M$1, 0), 0, "bare", 1, "short veg", 2, "cultivated", 3, "tall veg", 4, "wetland", 5, "short veg", 6, "cultivated", 7, "tall veg", 8, "water", 9, "snow/ice", 10, "cropland", 11, "built up")</f>
        <v>short veg</v>
      </c>
      <c r="N9" t="str" cm="1">
        <f t="array" ref="N9">_xlfn.SWITCH(VLOOKUP($A9, scenarios!$A$2:$N$19, N$1, 0), 0, "bare", 1, "short veg", 2, "cultivated", 3, "tall veg", 4, "wetland", 5, "short veg", 6, "cultivated", 7, "tall veg", 8, "water", 9, "snow/ice", 10, "cropland", 11, "built up")</f>
        <v>short veg</v>
      </c>
      <c r="O9" t="str" cm="1">
        <f t="array" ref="O9">IFERROR(_xlfn.SWITCH(VLOOKUP($A9, scenarios!$A$2:$Q$19, O$1, 0), 1, "Permanent agriculture", 2, "Hard commodities", 3, "Shifting cultivation", 4, "Logging", 5, "Wildfire", 6, "Settlements &amp; infrastructure", 7, "Other natural disturbances"), "")</f>
        <v/>
      </c>
      <c r="P9" t="str" cm="1">
        <f t="array" ref="P9">IFERROR(_xlfn.SWITCH(VLOOKUP($A9, scenarios!$A$2:$Q$19, P$1, 0), 1, "oil palm", 2, "wood fiber", 3, "other"), "")</f>
        <v/>
      </c>
      <c r="Q9" t="str" cm="1">
        <f t="array" ref="Q9">IFERROR(_xlfn.SWITCH(VLOOKUP($A9, scenarios!$A$2:$Q$19, Q$1, 0), 1, "yes"), "")</f>
        <v>yes</v>
      </c>
      <c r="T9" t="s">
        <v>43</v>
      </c>
    </row>
    <row r="10" spans="1:23" x14ac:dyDescent="0.3">
      <c r="A10" s="8">
        <v>8</v>
      </c>
      <c r="B10" t="str" cm="1">
        <f t="array" ref="B10">_xlfn.SWITCH(VLOOKUP($A10, scenarios!$A$2:$N$19, B$1, 0), 0, "bare", 1, "short veg", 2, "cultivated", 3, "tall veg", 4, "wetland", 5, "short veg", 6, "cultivated", 7, "tall veg", 8, "water", 9, "snow/ice", 10, "cropland", 11, "built up")</f>
        <v>tall veg</v>
      </c>
      <c r="C10" t="str" cm="1">
        <f t="array" ref="C10">_xlfn.SWITCH(VLOOKUP($A10, scenarios!$A$2:$N$19, C$1, 0), 0, "bare", 1, "short veg", 2, "cultivated", 3, "tall veg", 4, "wetland", 5, "short veg", 6, "cultivated", 7, "tall veg", 8, "water", 9, "snow/ice", 10, "cropland", 11, "built up")</f>
        <v>tall veg</v>
      </c>
      <c r="D10" t="str" cm="1">
        <f t="array" ref="D10">_xlfn.SWITCH(VLOOKUP($A10, scenarios!$A$2:$N$19, D$1, 0), 0, "bare", 1, "short veg", 2, "cultivated", 3, "tall veg", 4, "wetland", 5, "short veg", 6, "cultivated", 7, "tall veg", 8, "water", 9, "snow/ice", 10, "cropland", 11, "built up")</f>
        <v>tall veg</v>
      </c>
      <c r="E10" t="str" cm="1">
        <f t="array" ref="E10">_xlfn.SWITCH(VLOOKUP($A10, scenarios!$A$2:$N$19, E$1, 0), 0, "bare", 1, "short veg", 2, "cultivated", 3, "tall veg", 4, "wetland", 5, "short veg", 6, "cultivated", 7, "tall veg", 8, "water", 9, "snow/ice", 10, "cropland", 11, "built up")</f>
        <v>tall veg</v>
      </c>
      <c r="F10" t="str" cm="1">
        <f t="array" ref="F10">_xlfn.SWITCH(VLOOKUP($A10, scenarios!$A$2:$N$19, F$1, 0), 0, "bare", 1, "short veg", 2, "cultivated", 3, "tall veg", 4, "wetland", 5, "short veg", 6, "cultivated", 7, "tall veg", 8, "water", 9, "snow/ice", 10, "cropland", 11, "built up")</f>
        <v>tall veg</v>
      </c>
      <c r="G10" t="str" cm="1">
        <f t="array" ref="G10">_xlfn.SWITCH(VLOOKUP($A10, scenarios!$A$2:$N$19, G$1, 0), 0, "bare", 1, "short veg", 2, "cultivated", 3, "tall veg", 4, "wetland", 5, "short veg", 6, "cultivated", 7, "tall veg", 8, "water", 9, "snow/ice", 10, "cropland", 11, "built up")</f>
        <v>cultivated</v>
      </c>
      <c r="H10" t="str" cm="1">
        <f t="array" ref="H10">_xlfn.SWITCH(VLOOKUP($A10, scenarios!$A$2:$N$19, H$1, 0), 0, "bare", 1, "short veg", 2, "cultivated", 3, "tall veg", 4, "wetland", 5, "short veg", 6, "cultivated", 7, "tall veg", 8, "water", 9, "snow/ice", 10, "cropland", 11, "built up")</f>
        <v>cultivated</v>
      </c>
      <c r="I10" t="str" cm="1">
        <f t="array" ref="I10">_xlfn.SWITCH(VLOOKUP($A10, scenarios!$A$2:$N$19, I$1, 0), 0, "bare", 1, "short veg", 2, "cultivated", 3, "tall veg", 4, "wetland", 5, "short veg", 6, "cultivated", 7, "tall veg", 8, "water", 9, "snow/ice", 10, "cropland", 11, "built up")</f>
        <v>cultivated</v>
      </c>
      <c r="J10" t="str" cm="1">
        <f t="array" ref="J10">_xlfn.SWITCH(VLOOKUP($A10, scenarios!$A$2:$N$19, J$1, 0), 0, "bare", 1, "short veg", 2, "cultivated", 3, "tall veg", 4, "wetland", 5, "short veg", 6, "cultivated", 7, "tall veg", 8, "water", 9, "snow/ice", 10, "cropland", 11, "built up")</f>
        <v>tall veg</v>
      </c>
      <c r="K10" t="str" cm="1">
        <f t="array" ref="K10">_xlfn.SWITCH(VLOOKUP($A10, scenarios!$A$2:$N$19, K$1, 0), 0, "bare", 1, "short veg", 2, "cultivated", 3, "tall veg", 4, "wetland", 5, "short veg", 6, "cultivated", 7, "tall veg", 8, "water", 9, "snow/ice", 10, "cropland", 11, "built up")</f>
        <v>tall veg</v>
      </c>
      <c r="L10" t="str" cm="1">
        <f t="array" ref="L10">_xlfn.SWITCH(VLOOKUP($A10, scenarios!$A$2:$N$19, L$1, 0), 0, "bare", 1, "short veg", 2, "cultivated", 3, "tall veg", 4, "wetland", 5, "short veg", 6, "cultivated", 7, "tall veg", 8, "water", 9, "snow/ice", 10, "cropland", 11, "built up")</f>
        <v>cultivated</v>
      </c>
      <c r="M10" t="str" cm="1">
        <f t="array" ref="M10">_xlfn.SWITCH(VLOOKUP($A10, scenarios!$A$2:$N$19, M$1, 0), 0, "bare", 1, "short veg", 2, "cultivated", 3, "tall veg", 4, "wetland", 5, "short veg", 6, "cultivated", 7, "tall veg", 8, "water", 9, "snow/ice", 10, "cropland", 11, "built up")</f>
        <v>cultivated</v>
      </c>
      <c r="N10" t="str" cm="1">
        <f t="array" ref="N10">_xlfn.SWITCH(VLOOKUP($A10, scenarios!$A$2:$N$19, N$1, 0), 0, "bare", 1, "short veg", 2, "cultivated", 3, "tall veg", 4, "wetland", 5, "short veg", 6, "cultivated", 7, "tall veg", 8, "water", 9, "snow/ice", 10, "cropland", 11, "built up")</f>
        <v>cultivated</v>
      </c>
      <c r="O10" t="str" cm="1">
        <f t="array" ref="O10">IFERROR(_xlfn.SWITCH(VLOOKUP($A10, scenarios!$A$2:$Q$19, O$1, 0), 1, "Permanent agriculture", 2, "Hard commodities", 3, "Shifting cultivation", 4, "Logging", 5, "Wildfire", 6, "Settlements &amp; infrastructure", 7, "Other natural disturbances"), "")</f>
        <v/>
      </c>
      <c r="P10" t="str" cm="1">
        <f t="array" ref="P10">IFERROR(_xlfn.SWITCH(VLOOKUP($A10, scenarios!$A$2:$Q$19, P$1, 0), 1, "oil palm", 2, "wood fiber", 3, "other"), "")</f>
        <v/>
      </c>
      <c r="Q10" t="str" cm="1">
        <f t="array" ref="Q10">IFERROR(_xlfn.SWITCH(VLOOKUP($A10, scenarios!$A$2:$Q$19, Q$1, 0), 1, "yes"), "")</f>
        <v>yes</v>
      </c>
      <c r="T10" t="s">
        <v>43</v>
      </c>
    </row>
    <row r="11" spans="1:23" x14ac:dyDescent="0.3">
      <c r="A11" s="8">
        <v>9</v>
      </c>
      <c r="B11" t="str" cm="1">
        <f t="array" ref="B11">_xlfn.SWITCH(VLOOKUP($A11, scenarios!$A$2:$N$19, B$1, 0), 0, "bare", 1, "short veg", 2, "cultivated", 3, "tall veg", 4, "wetland", 5, "short veg", 6, "cultivated", 7, "tall veg", 8, "water", 9, "snow/ice", 10, "cropland", 11, "built up")</f>
        <v>tall veg</v>
      </c>
      <c r="C11" t="str" cm="1">
        <f t="array" ref="C11">_xlfn.SWITCH(VLOOKUP($A11, scenarios!$A$2:$N$19, C$1, 0), 0, "bare", 1, "short veg", 2, "cultivated", 3, "tall veg", 4, "wetland", 5, "short veg", 6, "cultivated", 7, "tall veg", 8, "water", 9, "snow/ice", 10, "cropland", 11, "built up")</f>
        <v>tall veg</v>
      </c>
      <c r="D11" t="str" cm="1">
        <f t="array" ref="D11">_xlfn.SWITCH(VLOOKUP($A11, scenarios!$A$2:$N$19, D$1, 0), 0, "bare", 1, "short veg", 2, "cultivated", 3, "tall veg", 4, "wetland", 5, "short veg", 6, "cultivated", 7, "tall veg", 8, "water", 9, "snow/ice", 10, "cropland", 11, "built up")</f>
        <v>tall veg</v>
      </c>
      <c r="E11" t="str" cm="1">
        <f t="array" ref="E11">_xlfn.SWITCH(VLOOKUP($A11, scenarios!$A$2:$N$19, E$1, 0), 0, "bare", 1, "short veg", 2, "cultivated", 3, "tall veg", 4, "wetland", 5, "short veg", 6, "cultivated", 7, "tall veg", 8, "water", 9, "snow/ice", 10, "cropland", 11, "built up")</f>
        <v>tall veg</v>
      </c>
      <c r="F11" t="str" cm="1">
        <f t="array" ref="F11">_xlfn.SWITCH(VLOOKUP($A11, scenarios!$A$2:$N$19, F$1, 0), 0, "bare", 1, "short veg", 2, "cultivated", 3, "tall veg", 4, "wetland", 5, "short veg", 6, "cultivated", 7, "tall veg", 8, "water", 9, "snow/ice", 10, "cropland", 11, "built up")</f>
        <v>tall veg</v>
      </c>
      <c r="G11" t="str" cm="1">
        <f t="array" ref="G11">_xlfn.SWITCH(VLOOKUP($A11, scenarios!$A$2:$N$19, G$1, 0), 0, "bare", 1, "short veg", 2, "cultivated", 3, "tall veg", 4, "wetland", 5, "short veg", 6, "cultivated", 7, "tall veg", 8, "water", 9, "snow/ice", 10, "cropland", 11, "built up")</f>
        <v>tall veg</v>
      </c>
      <c r="H11" t="str" cm="1">
        <f t="array" ref="H11">_xlfn.SWITCH(VLOOKUP($A11, scenarios!$A$2:$N$19, H$1, 0), 0, "bare", 1, "short veg", 2, "cultivated", 3, "tall veg", 4, "wetland", 5, "short veg", 6, "cultivated", 7, "tall veg", 8, "water", 9, "snow/ice", 10, "cropland", 11, "built up")</f>
        <v>tall veg</v>
      </c>
      <c r="I11" t="str" cm="1">
        <f t="array" ref="I11">_xlfn.SWITCH(VLOOKUP($A11, scenarios!$A$2:$N$19, I$1, 0), 0, "bare", 1, "short veg", 2, "cultivated", 3, "tall veg", 4, "wetland", 5, "short veg", 6, "cultivated", 7, "tall veg", 8, "water", 9, "snow/ice", 10, "cropland", 11, "built up")</f>
        <v>tall veg</v>
      </c>
      <c r="J11" t="str" cm="1">
        <f t="array" ref="J11">_xlfn.SWITCH(VLOOKUP($A11, scenarios!$A$2:$N$19, J$1, 0), 0, "bare", 1, "short veg", 2, "cultivated", 3, "tall veg", 4, "wetland", 5, "short veg", 6, "cultivated", 7, "tall veg", 8, "water", 9, "snow/ice", 10, "cropland", 11, "built up")</f>
        <v>tall veg</v>
      </c>
      <c r="K11" t="str" cm="1">
        <f t="array" ref="K11">_xlfn.SWITCH(VLOOKUP($A11, scenarios!$A$2:$N$19, K$1, 0), 0, "bare", 1, "short veg", 2, "cultivated", 3, "tall veg", 4, "wetland", 5, "short veg", 6, "cultivated", 7, "tall veg", 8, "water", 9, "snow/ice", 10, "cropland", 11, "built up")</f>
        <v>tall veg</v>
      </c>
      <c r="L11" t="str" cm="1">
        <f t="array" ref="L11">_xlfn.SWITCH(VLOOKUP($A11, scenarios!$A$2:$N$19, L$1, 0), 0, "bare", 1, "short veg", 2, "cultivated", 3, "tall veg", 4, "wetland", 5, "short veg", 6, "cultivated", 7, "tall veg", 8, "water", 9, "snow/ice", 10, "cropland", 11, "built up")</f>
        <v>tall veg</v>
      </c>
      <c r="M11" t="str" cm="1">
        <f t="array" ref="M11">_xlfn.SWITCH(VLOOKUP($A11, scenarios!$A$2:$N$19, M$1, 0), 0, "bare", 1, "short veg", 2, "cultivated", 3, "tall veg", 4, "wetland", 5, "short veg", 6, "cultivated", 7, "tall veg", 8, "water", 9, "snow/ice", 10, "cropland", 11, "built up")</f>
        <v>tall veg</v>
      </c>
      <c r="N11" t="str" cm="1">
        <f t="array" ref="N11">_xlfn.SWITCH(VLOOKUP($A11, scenarios!$A$2:$N$19, N$1, 0), 0, "bare", 1, "short veg", 2, "cultivated", 3, "tall veg", 4, "wetland", 5, "short veg", 6, "cultivated", 7, "tall veg", 8, "water", 9, "snow/ice", 10, "cropland", 11, "built up")</f>
        <v>tall veg</v>
      </c>
      <c r="O11" t="str" cm="1">
        <f t="array" ref="O11">IFERROR(_xlfn.SWITCH(VLOOKUP($A11, scenarios!$A$2:$Q$19, O$1, 0), 1, "Permanent agriculture", 2, "Hard commodities", 3, "Shifting cultivation", 4, "Logging", 5, "Wildfire", 6, "Settlements &amp; infrastructure", 7, "Other natural disturbances"), "")</f>
        <v/>
      </c>
      <c r="P11" t="str" cm="1">
        <f t="array" ref="P11">IFERROR(_xlfn.SWITCH(VLOOKUP($A11, scenarios!$A$2:$Q$19, P$1, 0), 1, "oil palm", 2, "wood fiber", 3, "other"), "")</f>
        <v/>
      </c>
      <c r="Q11" t="str" cm="1">
        <f t="array" ref="Q11">IFERROR(_xlfn.SWITCH(VLOOKUP($A11, scenarios!$A$2:$Q$19, Q$1, 0), 1, "yes"), "")</f>
        <v/>
      </c>
      <c r="T11" t="s">
        <v>44</v>
      </c>
    </row>
    <row r="12" spans="1:23" x14ac:dyDescent="0.3">
      <c r="A12" s="8">
        <v>10</v>
      </c>
      <c r="B12" t="str" cm="1">
        <f t="array" ref="B12">_xlfn.SWITCH(VLOOKUP($A12, scenarios!$A$2:$N$19, B$1, 0), 0, "bare", 1, "short veg", 2, "cultivated", 3, "tall veg", 4, "wetland", 5, "short veg", 6, "cultivated", 7, "tall veg", 8, "water", 9, "snow/ice", 10, "cropland", 11, "built up")</f>
        <v>short veg</v>
      </c>
      <c r="C12" t="str" cm="1">
        <f t="array" ref="C12">_xlfn.SWITCH(VLOOKUP($A12, scenarios!$A$2:$N$19, C$1, 0), 0, "bare", 1, "short veg", 2, "cultivated", 3, "tall veg", 4, "wetland", 5, "short veg", 6, "cultivated", 7, "tall veg", 8, "water", 9, "snow/ice", 10, "cropland", 11, "built up")</f>
        <v>short veg</v>
      </c>
      <c r="D12" t="str" cm="1">
        <f t="array" ref="D12">_xlfn.SWITCH(VLOOKUP($A12, scenarios!$A$2:$N$19, D$1, 0), 0, "bare", 1, "short veg", 2, "cultivated", 3, "tall veg", 4, "wetland", 5, "short veg", 6, "cultivated", 7, "tall veg", 8, "water", 9, "snow/ice", 10, "cropland", 11, "built up")</f>
        <v>short veg</v>
      </c>
      <c r="E12" t="str" cm="1">
        <f t="array" ref="E12">_xlfn.SWITCH(VLOOKUP($A12, scenarios!$A$2:$N$19, E$1, 0), 0, "bare", 1, "short veg", 2, "cultivated", 3, "tall veg", 4, "wetland", 5, "short veg", 6, "cultivated", 7, "tall veg", 8, "water", 9, "snow/ice", 10, "cropland", 11, "built up")</f>
        <v>short veg</v>
      </c>
      <c r="F12" t="str" cm="1">
        <f t="array" ref="F12">_xlfn.SWITCH(VLOOKUP($A12, scenarios!$A$2:$N$19, F$1, 0), 0, "bare", 1, "short veg", 2, "cultivated", 3, "tall veg", 4, "wetland", 5, "short veg", 6, "cultivated", 7, "tall veg", 8, "water", 9, "snow/ice", 10, "cropland", 11, "built up")</f>
        <v>short veg</v>
      </c>
      <c r="G12" t="str" cm="1">
        <f t="array" ref="G12">_xlfn.SWITCH(VLOOKUP($A12, scenarios!$A$2:$N$19, G$1, 0), 0, "bare", 1, "short veg", 2, "cultivated", 3, "tall veg", 4, "wetland", 5, "short veg", 6, "cultivated", 7, "tall veg", 8, "water", 9, "snow/ice", 10, "cropland", 11, "built up")</f>
        <v>short veg</v>
      </c>
      <c r="H12" t="str" cm="1">
        <f t="array" ref="H12">_xlfn.SWITCH(VLOOKUP($A12, scenarios!$A$2:$N$19, H$1, 0), 0, "bare", 1, "short veg", 2, "cultivated", 3, "tall veg", 4, "wetland", 5, "short veg", 6, "cultivated", 7, "tall veg", 8, "water", 9, "snow/ice", 10, "cropland", 11, "built up")</f>
        <v>short veg</v>
      </c>
      <c r="I12" t="str" cm="1">
        <f t="array" ref="I12">_xlfn.SWITCH(VLOOKUP($A12, scenarios!$A$2:$N$19, I$1, 0), 0, "bare", 1, "short veg", 2, "cultivated", 3, "tall veg", 4, "wetland", 5, "short veg", 6, "cultivated", 7, "tall veg", 8, "water", 9, "snow/ice", 10, "cropland", 11, "built up")</f>
        <v>short veg</v>
      </c>
      <c r="J12" t="str" cm="1">
        <f t="array" ref="J12">_xlfn.SWITCH(VLOOKUP($A12, scenarios!$A$2:$N$19, J$1, 0), 0, "bare", 1, "short veg", 2, "cultivated", 3, "tall veg", 4, "wetland", 5, "short veg", 6, "cultivated", 7, "tall veg", 8, "water", 9, "snow/ice", 10, "cropland", 11, "built up")</f>
        <v>short veg</v>
      </c>
      <c r="K12" t="str" cm="1">
        <f t="array" ref="K12">_xlfn.SWITCH(VLOOKUP($A12, scenarios!$A$2:$N$19, K$1, 0), 0, "bare", 1, "short veg", 2, "cultivated", 3, "tall veg", 4, "wetland", 5, "short veg", 6, "cultivated", 7, "tall veg", 8, "water", 9, "snow/ice", 10, "cropland", 11, "built up")</f>
        <v>short veg</v>
      </c>
      <c r="L12" t="str" cm="1">
        <f t="array" ref="L12">_xlfn.SWITCH(VLOOKUP($A12, scenarios!$A$2:$N$19, L$1, 0), 0, "bare", 1, "short veg", 2, "cultivated", 3, "tall veg", 4, "wetland", 5, "short veg", 6, "cultivated", 7, "tall veg", 8, "water", 9, "snow/ice", 10, "cropland", 11, "built up")</f>
        <v>short veg</v>
      </c>
      <c r="M12" t="str" cm="1">
        <f t="array" ref="M12">_xlfn.SWITCH(VLOOKUP($A12, scenarios!$A$2:$N$19, M$1, 0), 0, "bare", 1, "short veg", 2, "cultivated", 3, "tall veg", 4, "wetland", 5, "short veg", 6, "cultivated", 7, "tall veg", 8, "water", 9, "snow/ice", 10, "cropland", 11, "built up")</f>
        <v>short veg</v>
      </c>
      <c r="N12" t="str" cm="1">
        <f t="array" ref="N12">_xlfn.SWITCH(VLOOKUP($A12, scenarios!$A$2:$N$19, N$1, 0), 0, "bare", 1, "short veg", 2, "cultivated", 3, "tall veg", 4, "wetland", 5, "short veg", 6, "cultivated", 7, "tall veg", 8, "water", 9, "snow/ice", 10, "cropland", 11, "built up")</f>
        <v>short veg</v>
      </c>
      <c r="O12" t="str" cm="1">
        <f t="array" ref="O12">IFERROR(_xlfn.SWITCH(VLOOKUP($A12, scenarios!$A$2:$Q$19, O$1, 0), 1, "Permanent agriculture", 2, "Hard commodities", 3, "Shifting cultivation", 4, "Logging", 5, "Wildfire", 6, "Settlements &amp; infrastructure", 7, "Other natural disturbances"), "")</f>
        <v/>
      </c>
      <c r="P12" t="str" cm="1">
        <f t="array" ref="P12">IFERROR(_xlfn.SWITCH(VLOOKUP($A12, scenarios!$A$2:$Q$19, P$1, 0), 1, "oil palm", 2, "wood fiber", 3, "other"), "")</f>
        <v/>
      </c>
      <c r="Q12" t="str" cm="1">
        <f t="array" ref="Q12">IFERROR(_xlfn.SWITCH(VLOOKUP($A12, scenarios!$A$2:$Q$19, Q$1, 0), 1, "yes"), "")</f>
        <v/>
      </c>
      <c r="T12" t="s">
        <v>45</v>
      </c>
    </row>
    <row r="13" spans="1:23" x14ac:dyDescent="0.3">
      <c r="A13" s="8">
        <v>11</v>
      </c>
      <c r="B13" t="str" cm="1">
        <f t="array" ref="B13">_xlfn.SWITCH(VLOOKUP($A13, scenarios!$A$2:$N$19, B$1, 0), 0, "bare", 1, "short veg", 2, "cultivated", 3, "tall veg", 4, "wetland", 5, "short veg", 6, "cultivated", 7, "tall veg", 8, "water", 9, "snow/ice", 10, "cropland", 11, "built up")</f>
        <v>cropland</v>
      </c>
      <c r="C13" t="str" cm="1">
        <f t="array" ref="C13">_xlfn.SWITCH(VLOOKUP($A13, scenarios!$A$2:$N$19, C$1, 0), 0, "bare", 1, "short veg", 2, "cultivated", 3, "tall veg", 4, "wetland", 5, "short veg", 6, "cultivated", 7, "tall veg", 8, "water", 9, "snow/ice", 10, "cropland", 11, "built up")</f>
        <v>cropland</v>
      </c>
      <c r="D13" t="str" cm="1">
        <f t="array" ref="D13">_xlfn.SWITCH(VLOOKUP($A13, scenarios!$A$2:$N$19, D$1, 0), 0, "bare", 1, "short veg", 2, "cultivated", 3, "tall veg", 4, "wetland", 5, "short veg", 6, "cultivated", 7, "tall veg", 8, "water", 9, "snow/ice", 10, "cropland", 11, "built up")</f>
        <v>cropland</v>
      </c>
      <c r="E13" t="str" cm="1">
        <f t="array" ref="E13">_xlfn.SWITCH(VLOOKUP($A13, scenarios!$A$2:$N$19, E$1, 0), 0, "bare", 1, "short veg", 2, "cultivated", 3, "tall veg", 4, "wetland", 5, "short veg", 6, "cultivated", 7, "tall veg", 8, "water", 9, "snow/ice", 10, "cropland", 11, "built up")</f>
        <v>cropland</v>
      </c>
      <c r="F13" t="str" cm="1">
        <f t="array" ref="F13">_xlfn.SWITCH(VLOOKUP($A13, scenarios!$A$2:$N$19, F$1, 0), 0, "bare", 1, "short veg", 2, "cultivated", 3, "tall veg", 4, "wetland", 5, "short veg", 6, "cultivated", 7, "tall veg", 8, "water", 9, "snow/ice", 10, "cropland", 11, "built up")</f>
        <v>cropland</v>
      </c>
      <c r="G13" t="str" cm="1">
        <f t="array" ref="G13">_xlfn.SWITCH(VLOOKUP($A13, scenarios!$A$2:$N$19, G$1, 0), 0, "bare", 1, "short veg", 2, "cultivated", 3, "tall veg", 4, "wetland", 5, "short veg", 6, "cultivated", 7, "tall veg", 8, "water", 9, "snow/ice", 10, "cropland", 11, "built up")</f>
        <v>cropland</v>
      </c>
      <c r="H13" t="str" cm="1">
        <f t="array" ref="H13">_xlfn.SWITCH(VLOOKUP($A13, scenarios!$A$2:$N$19, H$1, 0), 0, "bare", 1, "short veg", 2, "cultivated", 3, "tall veg", 4, "wetland", 5, "short veg", 6, "cultivated", 7, "tall veg", 8, "water", 9, "snow/ice", 10, "cropland", 11, "built up")</f>
        <v>cropland</v>
      </c>
      <c r="I13" t="str" cm="1">
        <f t="array" ref="I13">_xlfn.SWITCH(VLOOKUP($A13, scenarios!$A$2:$N$19, I$1, 0), 0, "bare", 1, "short veg", 2, "cultivated", 3, "tall veg", 4, "wetland", 5, "short veg", 6, "cultivated", 7, "tall veg", 8, "water", 9, "snow/ice", 10, "cropland", 11, "built up")</f>
        <v>cropland</v>
      </c>
      <c r="J13" t="str" cm="1">
        <f t="array" ref="J13">_xlfn.SWITCH(VLOOKUP($A13, scenarios!$A$2:$N$19, J$1, 0), 0, "bare", 1, "short veg", 2, "cultivated", 3, "tall veg", 4, "wetland", 5, "short veg", 6, "cultivated", 7, "tall veg", 8, "water", 9, "snow/ice", 10, "cropland", 11, "built up")</f>
        <v>cropland</v>
      </c>
      <c r="K13" t="str" cm="1">
        <f t="array" ref="K13">_xlfn.SWITCH(VLOOKUP($A13, scenarios!$A$2:$N$19, K$1, 0), 0, "bare", 1, "short veg", 2, "cultivated", 3, "tall veg", 4, "wetland", 5, "short veg", 6, "cultivated", 7, "tall veg", 8, "water", 9, "snow/ice", 10, "cropland", 11, "built up")</f>
        <v>cropland</v>
      </c>
      <c r="L13" t="str" cm="1">
        <f t="array" ref="L13">_xlfn.SWITCH(VLOOKUP($A13, scenarios!$A$2:$N$19, L$1, 0), 0, "bare", 1, "short veg", 2, "cultivated", 3, "tall veg", 4, "wetland", 5, "short veg", 6, "cultivated", 7, "tall veg", 8, "water", 9, "snow/ice", 10, "cropland", 11, "built up")</f>
        <v>cropland</v>
      </c>
      <c r="M13" t="str" cm="1">
        <f t="array" ref="M13">_xlfn.SWITCH(VLOOKUP($A13, scenarios!$A$2:$N$19, M$1, 0), 0, "bare", 1, "short veg", 2, "cultivated", 3, "tall veg", 4, "wetland", 5, "short veg", 6, "cultivated", 7, "tall veg", 8, "water", 9, "snow/ice", 10, "cropland", 11, "built up")</f>
        <v>cropland</v>
      </c>
      <c r="N13" t="str" cm="1">
        <f t="array" ref="N13">_xlfn.SWITCH(VLOOKUP($A13, scenarios!$A$2:$N$19, N$1, 0), 0, "bare", 1, "short veg", 2, "cultivated", 3, "tall veg", 4, "wetland", 5, "short veg", 6, "cultivated", 7, "tall veg", 8, "water", 9, "snow/ice", 10, "cropland", 11, "built up")</f>
        <v>cropland</v>
      </c>
      <c r="O13" t="str" cm="1">
        <f t="array" ref="O13">IFERROR(_xlfn.SWITCH(VLOOKUP($A13, scenarios!$A$2:$Q$19, O$1, 0), 1, "Permanent agriculture", 2, "Hard commodities", 3, "Shifting cultivation", 4, "Logging", 5, "Wildfire", 6, "Settlements &amp; infrastructure", 7, "Other natural disturbances"), "")</f>
        <v/>
      </c>
      <c r="P13" t="str" cm="1">
        <f t="array" ref="P13">IFERROR(_xlfn.SWITCH(VLOOKUP($A13, scenarios!$A$2:$Q$19, P$1, 0), 1, "oil palm", 2, "wood fiber", 3, "other"), "")</f>
        <v/>
      </c>
      <c r="Q13" t="str" cm="1">
        <f t="array" ref="Q13">IFERROR(_xlfn.SWITCH(VLOOKUP($A13, scenarios!$A$2:$Q$19, Q$1, 0), 1, "yes"), "")</f>
        <v/>
      </c>
      <c r="T13" t="s">
        <v>46</v>
      </c>
    </row>
    <row r="14" spans="1:23" x14ac:dyDescent="0.3">
      <c r="A14" s="8">
        <v>12</v>
      </c>
      <c r="B14" t="str" cm="1">
        <f t="array" ref="B14">_xlfn.SWITCH(VLOOKUP($A14, scenarios!$A$2:$N$19, B$1, 0), 0, "bare", 1, "short veg", 2, "cultivated", 3, "tall veg", 4, "wetland", 5, "short veg", 6, "cultivated", 7, "tall veg", 8, "water", 9, "snow/ice", 10, "cropland", 11, "built up")</f>
        <v>tall veg</v>
      </c>
      <c r="C14" t="str" cm="1">
        <f t="array" ref="C14">_xlfn.SWITCH(VLOOKUP($A14, scenarios!$A$2:$N$19, C$1, 0), 0, "bare", 1, "short veg", 2, "cultivated", 3, "tall veg", 4, "wetland", 5, "short veg", 6, "cultivated", 7, "tall veg", 8, "water", 9, "snow/ice", 10, "cropland", 11, "built up")</f>
        <v>tall veg</v>
      </c>
      <c r="D14" t="str" cm="1">
        <f t="array" ref="D14">_xlfn.SWITCH(VLOOKUP($A14, scenarios!$A$2:$N$19, D$1, 0), 0, "bare", 1, "short veg", 2, "cultivated", 3, "tall veg", 4, "wetland", 5, "short veg", 6, "cultivated", 7, "tall veg", 8, "water", 9, "snow/ice", 10, "cropland", 11, "built up")</f>
        <v>tall veg</v>
      </c>
      <c r="E14" t="str" cm="1">
        <f t="array" ref="E14">_xlfn.SWITCH(VLOOKUP($A14, scenarios!$A$2:$N$19, E$1, 0), 0, "bare", 1, "short veg", 2, "cultivated", 3, "tall veg", 4, "wetland", 5, "short veg", 6, "cultivated", 7, "tall veg", 8, "water", 9, "snow/ice", 10, "cropland", 11, "built up")</f>
        <v>tall veg</v>
      </c>
      <c r="F14" t="str" cm="1">
        <f t="array" ref="F14">_xlfn.SWITCH(VLOOKUP($A14, scenarios!$A$2:$N$19, F$1, 0), 0, "bare", 1, "short veg", 2, "cultivated", 3, "tall veg", 4, "wetland", 5, "short veg", 6, "cultivated", 7, "tall veg", 8, "water", 9, "snow/ice", 10, "cropland", 11, "built up")</f>
        <v>tall veg</v>
      </c>
      <c r="G14" t="str" cm="1">
        <f t="array" ref="G14">_xlfn.SWITCH(VLOOKUP($A14, scenarios!$A$2:$N$19, G$1, 0), 0, "bare", 1, "short veg", 2, "cultivated", 3, "tall veg", 4, "wetland", 5, "short veg", 6, "cultivated", 7, "tall veg", 8, "water", 9, "snow/ice", 10, "cropland", 11, "built up")</f>
        <v>tall veg</v>
      </c>
      <c r="H14" t="str" cm="1">
        <f t="array" ref="H14">_xlfn.SWITCH(VLOOKUP($A14, scenarios!$A$2:$N$19, H$1, 0), 0, "bare", 1, "short veg", 2, "cultivated", 3, "tall veg", 4, "wetland", 5, "short veg", 6, "cultivated", 7, "tall veg", 8, "water", 9, "snow/ice", 10, "cropland", 11, "built up")</f>
        <v>tall veg</v>
      </c>
      <c r="I14" t="str" cm="1">
        <f t="array" ref="I14">_xlfn.SWITCH(VLOOKUP($A14, scenarios!$A$2:$N$19, I$1, 0), 0, "bare", 1, "short veg", 2, "cultivated", 3, "tall veg", 4, "wetland", 5, "short veg", 6, "cultivated", 7, "tall veg", 8, "water", 9, "snow/ice", 10, "cropland", 11, "built up")</f>
        <v>tall veg</v>
      </c>
      <c r="J14" t="str" cm="1">
        <f t="array" ref="J14">_xlfn.SWITCH(VLOOKUP($A14, scenarios!$A$2:$N$19, J$1, 0), 0, "bare", 1, "short veg", 2, "cultivated", 3, "tall veg", 4, "wetland", 5, "short veg", 6, "cultivated", 7, "tall veg", 8, "water", 9, "snow/ice", 10, "cropland", 11, "built up")</f>
        <v>tall veg</v>
      </c>
      <c r="K14" t="str" cm="1">
        <f t="array" ref="K14">_xlfn.SWITCH(VLOOKUP($A14, scenarios!$A$2:$N$19, K$1, 0), 0, "bare", 1, "short veg", 2, "cultivated", 3, "tall veg", 4, "wetland", 5, "short veg", 6, "cultivated", 7, "tall veg", 8, "water", 9, "snow/ice", 10, "cropland", 11, "built up")</f>
        <v>tall veg</v>
      </c>
      <c r="L14" t="str" cm="1">
        <f t="array" ref="L14">_xlfn.SWITCH(VLOOKUP($A14, scenarios!$A$2:$N$19, L$1, 0), 0, "bare", 1, "short veg", 2, "cultivated", 3, "tall veg", 4, "wetland", 5, "short veg", 6, "cultivated", 7, "tall veg", 8, "water", 9, "snow/ice", 10, "cropland", 11, "built up")</f>
        <v>cropland</v>
      </c>
      <c r="M14" t="str" cm="1">
        <f t="array" ref="M14">_xlfn.SWITCH(VLOOKUP($A14, scenarios!$A$2:$N$19, M$1, 0), 0, "bare", 1, "short veg", 2, "cultivated", 3, "tall veg", 4, "wetland", 5, "short veg", 6, "cultivated", 7, "tall veg", 8, "water", 9, "snow/ice", 10, "cropland", 11, "built up")</f>
        <v>cropland</v>
      </c>
      <c r="N14" t="str" cm="1">
        <f t="array" ref="N14">_xlfn.SWITCH(VLOOKUP($A14, scenarios!$A$2:$N$19, N$1, 0), 0, "bare", 1, "short veg", 2, "cultivated", 3, "tall veg", 4, "wetland", 5, "short veg", 6, "cultivated", 7, "tall veg", 8, "water", 9, "snow/ice", 10, "cropland", 11, "built up")</f>
        <v>cropland</v>
      </c>
      <c r="O14" t="str" cm="1">
        <f t="array" ref="O14">IFERROR(_xlfn.SWITCH(VLOOKUP($A14, scenarios!$A$2:$Q$19, O$1, 0), 1, "Permanent agriculture", 2, "Hard commodities", 3, "Shifting cultivation", 4, "Logging", 5, "Wildfire", 6, "Settlements &amp; infrastructure", 7, "Other natural disturbances"), "")</f>
        <v/>
      </c>
      <c r="P14" t="str" cm="1">
        <f t="array" ref="P14">IFERROR(_xlfn.SWITCH(VLOOKUP($A14, scenarios!$A$2:$Q$19, P$1, 0), 1, "oil palm", 2, "wood fiber", 3, "other"), "")</f>
        <v/>
      </c>
      <c r="Q14" t="str" cm="1">
        <f t="array" ref="Q14">IFERROR(_xlfn.SWITCH(VLOOKUP($A14, scenarios!$A$2:$Q$19, Q$1, 0), 1, "yes"), "")</f>
        <v/>
      </c>
      <c r="T14" t="s">
        <v>50</v>
      </c>
    </row>
    <row r="15" spans="1:23" x14ac:dyDescent="0.3">
      <c r="A15" s="8">
        <v>13</v>
      </c>
      <c r="B15" t="str" cm="1">
        <f t="array" ref="B15">_xlfn.SWITCH(VLOOKUP($A15, scenarios!$A$2:$N$19, B$1, 0), 0, "bare", 1, "short veg", 2, "cultivated", 3, "tall veg", 4, "wetland", 5, "short veg", 6, "cultivated", 7, "tall veg", 8, "water", 9, "snow/ice", 10, "cropland", 11, "built up")</f>
        <v>tall veg</v>
      </c>
      <c r="C15" t="str" cm="1">
        <f t="array" ref="C15">_xlfn.SWITCH(VLOOKUP($A15, scenarios!$A$2:$N$19, C$1, 0), 0, "bare", 1, "short veg", 2, "cultivated", 3, "tall veg", 4, "wetland", 5, "short veg", 6, "cultivated", 7, "tall veg", 8, "water", 9, "snow/ice", 10, "cropland", 11, "built up")</f>
        <v>tall veg</v>
      </c>
      <c r="D15" t="str" cm="1">
        <f t="array" ref="D15">_xlfn.SWITCH(VLOOKUP($A15, scenarios!$A$2:$N$19, D$1, 0), 0, "bare", 1, "short veg", 2, "cultivated", 3, "tall veg", 4, "wetland", 5, "short veg", 6, "cultivated", 7, "tall veg", 8, "water", 9, "snow/ice", 10, "cropland", 11, "built up")</f>
        <v>tall veg</v>
      </c>
      <c r="E15" t="str" cm="1">
        <f t="array" ref="E15">_xlfn.SWITCH(VLOOKUP($A15, scenarios!$A$2:$N$19, E$1, 0), 0, "bare", 1, "short veg", 2, "cultivated", 3, "tall veg", 4, "wetland", 5, "short veg", 6, "cultivated", 7, "tall veg", 8, "water", 9, "snow/ice", 10, "cropland", 11, "built up")</f>
        <v>tall veg</v>
      </c>
      <c r="F15" t="str" cm="1">
        <f t="array" ref="F15">_xlfn.SWITCH(VLOOKUP($A15, scenarios!$A$2:$N$19, F$1, 0), 0, "bare", 1, "short veg", 2, "cultivated", 3, "tall veg", 4, "wetland", 5, "short veg", 6, "cultivated", 7, "tall veg", 8, "water", 9, "snow/ice", 10, "cropland", 11, "built up")</f>
        <v>tall veg</v>
      </c>
      <c r="G15" t="str" cm="1">
        <f t="array" ref="G15">_xlfn.SWITCH(VLOOKUP($A15, scenarios!$A$2:$N$19, G$1, 0), 0, "bare", 1, "short veg", 2, "cultivated", 3, "tall veg", 4, "wetland", 5, "short veg", 6, "cultivated", 7, "tall veg", 8, "water", 9, "snow/ice", 10, "cropland", 11, "built up")</f>
        <v>tall veg</v>
      </c>
      <c r="H15" t="str" cm="1">
        <f t="array" ref="H15">_xlfn.SWITCH(VLOOKUP($A15, scenarios!$A$2:$N$19, H$1, 0), 0, "bare", 1, "short veg", 2, "cultivated", 3, "tall veg", 4, "wetland", 5, "short veg", 6, "cultivated", 7, "tall veg", 8, "water", 9, "snow/ice", 10, "cropland", 11, "built up")</f>
        <v>tall veg</v>
      </c>
      <c r="I15" t="str" cm="1">
        <f t="array" ref="I15">_xlfn.SWITCH(VLOOKUP($A15, scenarios!$A$2:$N$19, I$1, 0), 0, "bare", 1, "short veg", 2, "cultivated", 3, "tall veg", 4, "wetland", 5, "short veg", 6, "cultivated", 7, "tall veg", 8, "water", 9, "snow/ice", 10, "cropland", 11, "built up")</f>
        <v>tall veg</v>
      </c>
      <c r="J15" t="str" cm="1">
        <f t="array" ref="J15">_xlfn.SWITCH(VLOOKUP($A15, scenarios!$A$2:$N$19, J$1, 0), 0, "bare", 1, "short veg", 2, "cultivated", 3, "tall veg", 4, "wetland", 5, "short veg", 6, "cultivated", 7, "tall veg", 8, "water", 9, "snow/ice", 10, "cropland", 11, "built up")</f>
        <v>tall veg</v>
      </c>
      <c r="K15" t="str" cm="1">
        <f t="array" ref="K15">_xlfn.SWITCH(VLOOKUP($A15, scenarios!$A$2:$N$19, K$1, 0), 0, "bare", 1, "short veg", 2, "cultivated", 3, "tall veg", 4, "wetland", 5, "short veg", 6, "cultivated", 7, "tall veg", 8, "water", 9, "snow/ice", 10, "cropland", 11, "built up")</f>
        <v>tall veg</v>
      </c>
      <c r="L15" t="str" cm="1">
        <f t="array" ref="L15">_xlfn.SWITCH(VLOOKUP($A15, scenarios!$A$2:$N$19, L$1, 0), 0, "bare", 1, "short veg", 2, "cultivated", 3, "tall veg", 4, "wetland", 5, "short veg", 6, "cultivated", 7, "tall veg", 8, "water", 9, "snow/ice", 10, "cropland", 11, "built up")</f>
        <v>cropland</v>
      </c>
      <c r="M15" t="str" cm="1">
        <f t="array" ref="M15">_xlfn.SWITCH(VLOOKUP($A15, scenarios!$A$2:$N$19, M$1, 0), 0, "bare", 1, "short veg", 2, "cultivated", 3, "tall veg", 4, "wetland", 5, "short veg", 6, "cultivated", 7, "tall veg", 8, "water", 9, "snow/ice", 10, "cropland", 11, "built up")</f>
        <v>cropland</v>
      </c>
      <c r="N15" t="str" cm="1">
        <f t="array" ref="N15">_xlfn.SWITCH(VLOOKUP($A15, scenarios!$A$2:$N$19, N$1, 0), 0, "bare", 1, "short veg", 2, "cultivated", 3, "tall veg", 4, "wetland", 5, "short veg", 6, "cultivated", 7, "tall veg", 8, "water", 9, "snow/ice", 10, "cropland", 11, "built up")</f>
        <v>cropland</v>
      </c>
      <c r="O15" t="str" cm="1">
        <f t="array" ref="O15">IFERROR(_xlfn.SWITCH(VLOOKUP($A15, scenarios!$A$2:$Q$19, O$1, 0), 1, "Permanent agriculture", 2, "Hard commodities", 3, "Shifting cultivation", 4, "Logging", 5, "Wildfire", 6, "Settlements &amp; infrastructure", 7, "Other natural disturbances"), "")</f>
        <v>Shifting cultivation</v>
      </c>
      <c r="P15" t="str" cm="1">
        <f t="array" ref="P15">IFERROR(_xlfn.SWITCH(VLOOKUP($A15, scenarios!$A$2:$Q$19, P$1, 0), 1, "oil palm", 2, "wood fiber", 3, "other"), "")</f>
        <v/>
      </c>
      <c r="Q15" t="str" cm="1">
        <f t="array" ref="Q15">IFERROR(_xlfn.SWITCH(VLOOKUP($A15, scenarios!$A$2:$Q$19, Q$1, 0), 1, "yes"), "")</f>
        <v/>
      </c>
      <c r="T15" t="s">
        <v>50</v>
      </c>
      <c r="W15" s="9" t="s">
        <v>5</v>
      </c>
    </row>
    <row r="16" spans="1:23" x14ac:dyDescent="0.3">
      <c r="A16" s="8">
        <v>14</v>
      </c>
      <c r="B16" t="str" cm="1">
        <f t="array" ref="B16">_xlfn.SWITCH(VLOOKUP($A16, scenarios!$A$2:$N$19, B$1, 0), 0, "bare", 1, "short veg", 2, "cultivated", 3, "tall veg", 4, "wetland", 5, "short veg", 6, "cultivated", 7, "tall veg", 8, "water", 9, "snow/ice", 10, "cropland", 11, "built up")</f>
        <v>tall veg</v>
      </c>
      <c r="C16" t="str" cm="1">
        <f t="array" ref="C16">_xlfn.SWITCH(VLOOKUP($A16, scenarios!$A$2:$N$19, C$1, 0), 0, "bare", 1, "short veg", 2, "cultivated", 3, "tall veg", 4, "wetland", 5, "short veg", 6, "cultivated", 7, "tall veg", 8, "water", 9, "snow/ice", 10, "cropland", 11, "built up")</f>
        <v>tall veg</v>
      </c>
      <c r="D16" t="str" cm="1">
        <f t="array" ref="D16">_xlfn.SWITCH(VLOOKUP($A16, scenarios!$A$2:$N$19, D$1, 0), 0, "bare", 1, "short veg", 2, "cultivated", 3, "tall veg", 4, "wetland", 5, "short veg", 6, "cultivated", 7, "tall veg", 8, "water", 9, "snow/ice", 10, "cropland", 11, "built up")</f>
        <v>tall veg</v>
      </c>
      <c r="E16" t="str" cm="1">
        <f t="array" ref="E16">_xlfn.SWITCH(VLOOKUP($A16, scenarios!$A$2:$N$19, E$1, 0), 0, "bare", 1, "short veg", 2, "cultivated", 3, "tall veg", 4, "wetland", 5, "short veg", 6, "cultivated", 7, "tall veg", 8, "water", 9, "snow/ice", 10, "cropland", 11, "built up")</f>
        <v>tall veg</v>
      </c>
      <c r="F16" t="str" cm="1">
        <f t="array" ref="F16">_xlfn.SWITCH(VLOOKUP($A16, scenarios!$A$2:$N$19, F$1, 0), 0, "bare", 1, "short veg", 2, "cultivated", 3, "tall veg", 4, "wetland", 5, "short veg", 6, "cultivated", 7, "tall veg", 8, "water", 9, "snow/ice", 10, "cropland", 11, "built up")</f>
        <v>tall veg</v>
      </c>
      <c r="G16" t="str" cm="1">
        <f t="array" ref="G16">_xlfn.SWITCH(VLOOKUP($A16, scenarios!$A$2:$N$19, G$1, 0), 0, "bare", 1, "short veg", 2, "cultivated", 3, "tall veg", 4, "wetland", 5, "short veg", 6, "cultivated", 7, "tall veg", 8, "water", 9, "snow/ice", 10, "cropland", 11, "built up")</f>
        <v>cropland</v>
      </c>
      <c r="H16" t="str" cm="1">
        <f t="array" ref="H16">_xlfn.SWITCH(VLOOKUP($A16, scenarios!$A$2:$N$19, H$1, 0), 0, "bare", 1, "short veg", 2, "cultivated", 3, "tall veg", 4, "wetland", 5, "short veg", 6, "cultivated", 7, "tall veg", 8, "water", 9, "snow/ice", 10, "cropland", 11, "built up")</f>
        <v>cropland</v>
      </c>
      <c r="I16" t="str" cm="1">
        <f t="array" ref="I16">_xlfn.SWITCH(VLOOKUP($A16, scenarios!$A$2:$N$19, I$1, 0), 0, "bare", 1, "short veg", 2, "cultivated", 3, "tall veg", 4, "wetland", 5, "short veg", 6, "cultivated", 7, "tall veg", 8, "water", 9, "snow/ice", 10, "cropland", 11, "built up")</f>
        <v>tall veg</v>
      </c>
      <c r="J16" t="str" cm="1">
        <f t="array" ref="J16">_xlfn.SWITCH(VLOOKUP($A16, scenarios!$A$2:$N$19, J$1, 0), 0, "bare", 1, "short veg", 2, "cultivated", 3, "tall veg", 4, "wetland", 5, "short veg", 6, "cultivated", 7, "tall veg", 8, "water", 9, "snow/ice", 10, "cropland", 11, "built up")</f>
        <v>tall veg</v>
      </c>
      <c r="K16" t="str" cm="1">
        <f t="array" ref="K16">_xlfn.SWITCH(VLOOKUP($A16, scenarios!$A$2:$N$19, K$1, 0), 0, "bare", 1, "short veg", 2, "cultivated", 3, "tall veg", 4, "wetland", 5, "short veg", 6, "cultivated", 7, "tall veg", 8, "water", 9, "snow/ice", 10, "cropland", 11, "built up")</f>
        <v>tall veg</v>
      </c>
      <c r="L16" t="str" cm="1">
        <f t="array" ref="L16">_xlfn.SWITCH(VLOOKUP($A16, scenarios!$A$2:$N$19, L$1, 0), 0, "bare", 1, "short veg", 2, "cultivated", 3, "tall veg", 4, "wetland", 5, "short veg", 6, "cultivated", 7, "tall veg", 8, "water", 9, "snow/ice", 10, "cropland", 11, "built up")</f>
        <v>cropland</v>
      </c>
      <c r="M16" t="str" cm="1">
        <f t="array" ref="M16">_xlfn.SWITCH(VLOOKUP($A16, scenarios!$A$2:$N$19, M$1, 0), 0, "bare", 1, "short veg", 2, "cultivated", 3, "tall veg", 4, "wetland", 5, "short veg", 6, "cultivated", 7, "tall veg", 8, "water", 9, "snow/ice", 10, "cropland", 11, "built up")</f>
        <v>cropland</v>
      </c>
      <c r="N16" t="str" cm="1">
        <f t="array" ref="N16">_xlfn.SWITCH(VLOOKUP($A16, scenarios!$A$2:$N$19, N$1, 0), 0, "bare", 1, "short veg", 2, "cultivated", 3, "tall veg", 4, "wetland", 5, "short veg", 6, "cultivated", 7, "tall veg", 8, "water", 9, "snow/ice", 10, "cropland", 11, "built up")</f>
        <v>cropland</v>
      </c>
      <c r="O16" t="str" cm="1">
        <f t="array" ref="O16">IFERROR(_xlfn.SWITCH(VLOOKUP($A16, scenarios!$A$2:$Q$19, O$1, 0), 1, "Permanent agriculture", 2, "Hard commodities", 3, "Shifting cultivation", 4, "Logging", 5, "Wildfire", 6, "Settlements &amp; infrastructure", 7, "Other natural disturbances"), "")</f>
        <v>Shifting cultivation</v>
      </c>
      <c r="P16" t="str" cm="1">
        <f t="array" ref="P16">IFERROR(_xlfn.SWITCH(VLOOKUP($A16, scenarios!$A$2:$Q$19, P$1, 0), 1, "oil palm", 2, "wood fiber", 3, "other"), "")</f>
        <v/>
      </c>
      <c r="Q16" t="str" cm="1">
        <f t="array" ref="Q16">IFERROR(_xlfn.SWITCH(VLOOKUP($A16, scenarios!$A$2:$Q$19, Q$1, 0), 1, "yes"), "")</f>
        <v/>
      </c>
      <c r="T16" t="s">
        <v>51</v>
      </c>
      <c r="W16" s="9" t="s">
        <v>52</v>
      </c>
    </row>
    <row r="17" spans="1:23" x14ac:dyDescent="0.3">
      <c r="A17" s="8">
        <v>15</v>
      </c>
      <c r="B17" t="str" cm="1">
        <f t="array" ref="B17">_xlfn.SWITCH(VLOOKUP($A17, scenarios!$A$2:$N$19, B$1, 0), 0, "bare", 1, "short veg", 2, "cultivated", 3, "tall veg", 4, "wetland", 5, "short veg", 6, "cultivated", 7, "tall veg", 8, "water", 9, "snow/ice", 10, "cropland", 11, "built up")</f>
        <v>cropland</v>
      </c>
      <c r="C17" t="str" cm="1">
        <f t="array" ref="C17">_xlfn.SWITCH(VLOOKUP($A17, scenarios!$A$2:$N$19, C$1, 0), 0, "bare", 1, "short veg", 2, "cultivated", 3, "tall veg", 4, "wetland", 5, "short veg", 6, "cultivated", 7, "tall veg", 8, "water", 9, "snow/ice", 10, "cropland", 11, "built up")</f>
        <v>cropland</v>
      </c>
      <c r="D17" t="str" cm="1">
        <f t="array" ref="D17">_xlfn.SWITCH(VLOOKUP($A17, scenarios!$A$2:$N$19, D$1, 0), 0, "bare", 1, "short veg", 2, "cultivated", 3, "tall veg", 4, "wetland", 5, "short veg", 6, "cultivated", 7, "tall veg", 8, "water", 9, "snow/ice", 10, "cropland", 11, "built up")</f>
        <v>tall veg</v>
      </c>
      <c r="E17" t="str" cm="1">
        <f t="array" ref="E17">_xlfn.SWITCH(VLOOKUP($A17, scenarios!$A$2:$N$19, E$1, 0), 0, "bare", 1, "short veg", 2, "cultivated", 3, "tall veg", 4, "wetland", 5, "short veg", 6, "cultivated", 7, "tall veg", 8, "water", 9, "snow/ice", 10, "cropland", 11, "built up")</f>
        <v>tall veg</v>
      </c>
      <c r="F17" t="str" cm="1">
        <f t="array" ref="F17">_xlfn.SWITCH(VLOOKUP($A17, scenarios!$A$2:$N$19, F$1, 0), 0, "bare", 1, "short veg", 2, "cultivated", 3, "tall veg", 4, "wetland", 5, "short veg", 6, "cultivated", 7, "tall veg", 8, "water", 9, "snow/ice", 10, "cropland", 11, "built up")</f>
        <v>tall veg</v>
      </c>
      <c r="G17" t="str" cm="1">
        <f t="array" ref="G17">_xlfn.SWITCH(VLOOKUP($A17, scenarios!$A$2:$N$19, G$1, 0), 0, "bare", 1, "short veg", 2, "cultivated", 3, "tall veg", 4, "wetland", 5, "short veg", 6, "cultivated", 7, "tall veg", 8, "water", 9, "snow/ice", 10, "cropland", 11, "built up")</f>
        <v>tall veg</v>
      </c>
      <c r="H17" t="str" cm="1">
        <f t="array" ref="H17">_xlfn.SWITCH(VLOOKUP($A17, scenarios!$A$2:$N$19, H$1, 0), 0, "bare", 1, "short veg", 2, "cultivated", 3, "tall veg", 4, "wetland", 5, "short veg", 6, "cultivated", 7, "tall veg", 8, "water", 9, "snow/ice", 10, "cropland", 11, "built up")</f>
        <v>cropland</v>
      </c>
      <c r="I17" t="str" cm="1">
        <f t="array" ref="I17">_xlfn.SWITCH(VLOOKUP($A17, scenarios!$A$2:$N$19, I$1, 0), 0, "bare", 1, "short veg", 2, "cultivated", 3, "tall veg", 4, "wetland", 5, "short veg", 6, "cultivated", 7, "tall veg", 8, "water", 9, "snow/ice", 10, "cropland", 11, "built up")</f>
        <v>tall veg</v>
      </c>
      <c r="J17" t="str" cm="1">
        <f t="array" ref="J17">_xlfn.SWITCH(VLOOKUP($A17, scenarios!$A$2:$N$19, J$1, 0), 0, "bare", 1, "short veg", 2, "cultivated", 3, "tall veg", 4, "wetland", 5, "short veg", 6, "cultivated", 7, "tall veg", 8, "water", 9, "snow/ice", 10, "cropland", 11, "built up")</f>
        <v>tall veg</v>
      </c>
      <c r="K17" t="str" cm="1">
        <f t="array" ref="K17">_xlfn.SWITCH(VLOOKUP($A17, scenarios!$A$2:$N$19, K$1, 0), 0, "bare", 1, "short veg", 2, "cultivated", 3, "tall veg", 4, "wetland", 5, "short veg", 6, "cultivated", 7, "tall veg", 8, "water", 9, "snow/ice", 10, "cropland", 11, "built up")</f>
        <v>tall veg</v>
      </c>
      <c r="L17" t="str" cm="1">
        <f t="array" ref="L17">_xlfn.SWITCH(VLOOKUP($A17, scenarios!$A$2:$N$19, L$1, 0), 0, "bare", 1, "short veg", 2, "cultivated", 3, "tall veg", 4, "wetland", 5, "short veg", 6, "cultivated", 7, "tall veg", 8, "water", 9, "snow/ice", 10, "cropland", 11, "built up")</f>
        <v>cropland</v>
      </c>
      <c r="M17" t="str" cm="1">
        <f t="array" ref="M17">_xlfn.SWITCH(VLOOKUP($A17, scenarios!$A$2:$N$19, M$1, 0), 0, "bare", 1, "short veg", 2, "cultivated", 3, "tall veg", 4, "wetland", 5, "short veg", 6, "cultivated", 7, "tall veg", 8, "water", 9, "snow/ice", 10, "cropland", 11, "built up")</f>
        <v>cropland</v>
      </c>
      <c r="N17" t="str" cm="1">
        <f t="array" ref="N17">_xlfn.SWITCH(VLOOKUP($A17, scenarios!$A$2:$N$19, N$1, 0), 0, "bare", 1, "short veg", 2, "cultivated", 3, "tall veg", 4, "wetland", 5, "short veg", 6, "cultivated", 7, "tall veg", 8, "water", 9, "snow/ice", 10, "cropland", 11, "built up")</f>
        <v>cropland</v>
      </c>
      <c r="O17" t="str" cm="1">
        <f t="array" ref="O17">IFERROR(_xlfn.SWITCH(VLOOKUP($A17, scenarios!$A$2:$Q$19, O$1, 0), 1, "Permanent agriculture", 2, "Hard commodities", 3, "Shifting cultivation", 4, "Logging", 5, "Wildfire", 6, "Settlements &amp; infrastructure", 7, "Other natural disturbances"), "")</f>
        <v>Shifting cultivation</v>
      </c>
      <c r="P17" t="str" cm="1">
        <f t="array" ref="P17">IFERROR(_xlfn.SWITCH(VLOOKUP($A17, scenarios!$A$2:$Q$19, P$1, 0), 1, "oil palm", 2, "wood fiber", 3, "other"), "")</f>
        <v/>
      </c>
      <c r="Q17" t="str" cm="1">
        <f t="array" ref="Q17">IFERROR(_xlfn.SWITCH(VLOOKUP($A17, scenarios!$A$2:$Q$19, Q$1, 0), 1, "yes"), "")</f>
        <v/>
      </c>
      <c r="T17" t="s">
        <v>46</v>
      </c>
      <c r="W17" s="9" t="s">
        <v>2</v>
      </c>
    </row>
    <row r="18" spans="1:23" x14ac:dyDescent="0.3">
      <c r="A18" s="8">
        <v>16</v>
      </c>
      <c r="B18" t="str" cm="1">
        <f t="array" ref="B18">_xlfn.SWITCH(VLOOKUP($A18, scenarios!$A$2:$N$19, B$1, 0), 0, "bare", 1, "short veg", 2, "cultivated", 3, "tall veg", 4, "wetland", 5, "short veg", 6, "cultivated", 7, "tall veg", 8, "water", 9, "snow/ice", 10, "cropland", 11, "built up")</f>
        <v>short veg</v>
      </c>
      <c r="C18" t="str" cm="1">
        <f t="array" ref="C18">_xlfn.SWITCH(VLOOKUP($A18, scenarios!$A$2:$N$19, C$1, 0), 0, "bare", 1, "short veg", 2, "cultivated", 3, "tall veg", 4, "wetland", 5, "short veg", 6, "cultivated", 7, "tall veg", 8, "water", 9, "snow/ice", 10, "cropland", 11, "built up")</f>
        <v>short veg</v>
      </c>
      <c r="D18" t="str" cm="1">
        <f t="array" ref="D18">_xlfn.SWITCH(VLOOKUP($A18, scenarios!$A$2:$N$19, D$1, 0), 0, "bare", 1, "short veg", 2, "cultivated", 3, "tall veg", 4, "wetland", 5, "short veg", 6, "cultivated", 7, "tall veg", 8, "water", 9, "snow/ice", 10, "cropland", 11, "built up")</f>
        <v>tall veg</v>
      </c>
      <c r="E18" t="str" cm="1">
        <f t="array" ref="E18">_xlfn.SWITCH(VLOOKUP($A18, scenarios!$A$2:$N$19, E$1, 0), 0, "bare", 1, "short veg", 2, "cultivated", 3, "tall veg", 4, "wetland", 5, "short veg", 6, "cultivated", 7, "tall veg", 8, "water", 9, "snow/ice", 10, "cropland", 11, "built up")</f>
        <v>tall veg</v>
      </c>
      <c r="F18" t="str" cm="1">
        <f t="array" ref="F18">_xlfn.SWITCH(VLOOKUP($A18, scenarios!$A$2:$N$19, F$1, 0), 0, "bare", 1, "short veg", 2, "cultivated", 3, "tall veg", 4, "wetland", 5, "short veg", 6, "cultivated", 7, "tall veg", 8, "water", 9, "snow/ice", 10, "cropland", 11, "built up")</f>
        <v>tall veg</v>
      </c>
      <c r="G18" t="str" cm="1">
        <f t="array" ref="G18">_xlfn.SWITCH(VLOOKUP($A18, scenarios!$A$2:$N$19, G$1, 0), 0, "bare", 1, "short veg", 2, "cultivated", 3, "tall veg", 4, "wetland", 5, "short veg", 6, "cultivated", 7, "tall veg", 8, "water", 9, "snow/ice", 10, "cropland", 11, "built up")</f>
        <v>tall veg</v>
      </c>
      <c r="H18" t="str" cm="1">
        <f t="array" ref="H18">_xlfn.SWITCH(VLOOKUP($A18, scenarios!$A$2:$N$19, H$1, 0), 0, "bare", 1, "short veg", 2, "cultivated", 3, "tall veg", 4, "wetland", 5, "short veg", 6, "cultivated", 7, "tall veg", 8, "water", 9, "snow/ice", 10, "cropland", 11, "built up")</f>
        <v>short veg</v>
      </c>
      <c r="I18" t="str" cm="1">
        <f t="array" ref="I18">_xlfn.SWITCH(VLOOKUP($A18, scenarios!$A$2:$N$19, I$1, 0), 0, "bare", 1, "short veg", 2, "cultivated", 3, "tall veg", 4, "wetland", 5, "short veg", 6, "cultivated", 7, "tall veg", 8, "water", 9, "snow/ice", 10, "cropland", 11, "built up")</f>
        <v>tall veg</v>
      </c>
      <c r="J18" t="str" cm="1">
        <f t="array" ref="J18">_xlfn.SWITCH(VLOOKUP($A18, scenarios!$A$2:$N$19, J$1, 0), 0, "bare", 1, "short veg", 2, "cultivated", 3, "tall veg", 4, "wetland", 5, "short veg", 6, "cultivated", 7, "tall veg", 8, "water", 9, "snow/ice", 10, "cropland", 11, "built up")</f>
        <v>tall veg</v>
      </c>
      <c r="K18" t="str" cm="1">
        <f t="array" ref="K18">_xlfn.SWITCH(VLOOKUP($A18, scenarios!$A$2:$N$19, K$1, 0), 0, "bare", 1, "short veg", 2, "cultivated", 3, "tall veg", 4, "wetland", 5, "short veg", 6, "cultivated", 7, "tall veg", 8, "water", 9, "snow/ice", 10, "cropland", 11, "built up")</f>
        <v>tall veg</v>
      </c>
      <c r="L18" t="str" cm="1">
        <f t="array" ref="L18">_xlfn.SWITCH(VLOOKUP($A18, scenarios!$A$2:$N$19, L$1, 0), 0, "bare", 1, "short veg", 2, "cultivated", 3, "tall veg", 4, "wetland", 5, "short veg", 6, "cultivated", 7, "tall veg", 8, "water", 9, "snow/ice", 10, "cropland", 11, "built up")</f>
        <v>short veg</v>
      </c>
      <c r="M18" t="str" cm="1">
        <f t="array" ref="M18">_xlfn.SWITCH(VLOOKUP($A18, scenarios!$A$2:$N$19, M$1, 0), 0, "bare", 1, "short veg", 2, "cultivated", 3, "tall veg", 4, "wetland", 5, "short veg", 6, "cultivated", 7, "tall veg", 8, "water", 9, "snow/ice", 10, "cropland", 11, "built up")</f>
        <v>short veg</v>
      </c>
      <c r="N18" t="str" cm="1">
        <f t="array" ref="N18">_xlfn.SWITCH(VLOOKUP($A18, scenarios!$A$2:$N$19, N$1, 0), 0, "bare", 1, "short veg", 2, "cultivated", 3, "tall veg", 4, "wetland", 5, "short veg", 6, "cultivated", 7, "tall veg", 8, "water", 9, "snow/ice", 10, "cropland", 11, "built up")</f>
        <v>short veg</v>
      </c>
      <c r="O18" t="str" cm="1">
        <f t="array" ref="O18">IFERROR(_xlfn.SWITCH(VLOOKUP($A18, scenarios!$A$2:$Q$19, O$1, 0), 1, "Permanent agriculture", 2, "Hard commodities", 3, "Shifting cultivation", 4, "Logging", 5, "Wildfire", 6, "Settlements &amp; infrastructure", 7, "Other natural disturbances"), "")</f>
        <v>Shifting cultivation</v>
      </c>
      <c r="P18" t="str" cm="1">
        <f t="array" ref="P18">IFERROR(_xlfn.SWITCH(VLOOKUP($A18, scenarios!$A$2:$Q$19, P$1, 0), 1, "oil palm", 2, "wood fiber", 3, "other"), "")</f>
        <v/>
      </c>
      <c r="Q18" t="str" cm="1">
        <f t="array" ref="Q18">IFERROR(_xlfn.SWITCH(VLOOKUP($A18, scenarios!$A$2:$Q$19, Q$1, 0), 1, "yes"), "")</f>
        <v/>
      </c>
      <c r="T18" t="s">
        <v>46</v>
      </c>
      <c r="W18" s="9" t="s">
        <v>2</v>
      </c>
    </row>
    <row r="19" spans="1:23" x14ac:dyDescent="0.3">
      <c r="A19" s="8">
        <v>17</v>
      </c>
      <c r="B19" t="str" cm="1">
        <f t="array" ref="B19">_xlfn.SWITCH(VLOOKUP($A19, scenarios!$A$2:$N$19, B$1, 0), 0, "bare", 1, "short veg", 2, "cultivated", 3, "tall veg", 4, "wetland", 5, "short veg", 6, "cultivated", 7, "tall veg", 8, "water", 9, "snow/ice", 10, "cropland", 11, "built up")</f>
        <v>tall veg</v>
      </c>
      <c r="C19" t="str" cm="1">
        <f t="array" ref="C19">_xlfn.SWITCH(VLOOKUP($A19, scenarios!$A$2:$N$19, C$1, 0), 0, "bare", 1, "short veg", 2, "cultivated", 3, "tall veg", 4, "wetland", 5, "short veg", 6, "cultivated", 7, "tall veg", 8, "water", 9, "snow/ice", 10, "cropland", 11, "built up")</f>
        <v>cropland</v>
      </c>
      <c r="D19" t="str" cm="1">
        <f t="array" ref="D19">_xlfn.SWITCH(VLOOKUP($A19, scenarios!$A$2:$N$19, D$1, 0), 0, "bare", 1, "short veg", 2, "cultivated", 3, "tall veg", 4, "wetland", 5, "short veg", 6, "cultivated", 7, "tall veg", 8, "water", 9, "snow/ice", 10, "cropland", 11, "built up")</f>
        <v>tall veg</v>
      </c>
      <c r="E19" t="str" cm="1">
        <f t="array" ref="E19">_xlfn.SWITCH(VLOOKUP($A19, scenarios!$A$2:$N$19, E$1, 0), 0, "bare", 1, "short veg", 2, "cultivated", 3, "tall veg", 4, "wetland", 5, "short veg", 6, "cultivated", 7, "tall veg", 8, "water", 9, "snow/ice", 10, "cropland", 11, "built up")</f>
        <v>cropland</v>
      </c>
      <c r="F19" t="str" cm="1">
        <f t="array" ref="F19">_xlfn.SWITCH(VLOOKUP($A19, scenarios!$A$2:$N$19, F$1, 0), 0, "bare", 1, "short veg", 2, "cultivated", 3, "tall veg", 4, "wetland", 5, "short veg", 6, "cultivated", 7, "tall veg", 8, "water", 9, "snow/ice", 10, "cropland", 11, "built up")</f>
        <v>tall veg</v>
      </c>
      <c r="G19" t="str" cm="1">
        <f t="array" ref="G19">_xlfn.SWITCH(VLOOKUP($A19, scenarios!$A$2:$N$19, G$1, 0), 0, "bare", 1, "short veg", 2, "cultivated", 3, "tall veg", 4, "wetland", 5, "short veg", 6, "cultivated", 7, "tall veg", 8, "water", 9, "snow/ice", 10, "cropland", 11, "built up")</f>
        <v>tall veg</v>
      </c>
      <c r="H19" t="str" cm="1">
        <f t="array" ref="H19">_xlfn.SWITCH(VLOOKUP($A19, scenarios!$A$2:$N$19, H$1, 0), 0, "bare", 1, "short veg", 2, "cultivated", 3, "tall veg", 4, "wetland", 5, "short veg", 6, "cultivated", 7, "tall veg", 8, "water", 9, "snow/ice", 10, "cropland", 11, "built up")</f>
        <v>cropland</v>
      </c>
      <c r="I19" t="str" cm="1">
        <f t="array" ref="I19">_xlfn.SWITCH(VLOOKUP($A19, scenarios!$A$2:$N$19, I$1, 0), 0, "bare", 1, "short veg", 2, "cultivated", 3, "tall veg", 4, "wetland", 5, "short veg", 6, "cultivated", 7, "tall veg", 8, "water", 9, "snow/ice", 10, "cropland", 11, "built up")</f>
        <v>cropland</v>
      </c>
      <c r="J19" t="str" cm="1">
        <f t="array" ref="J19">_xlfn.SWITCH(VLOOKUP($A19, scenarios!$A$2:$N$19, J$1, 0), 0, "bare", 1, "short veg", 2, "cultivated", 3, "tall veg", 4, "wetland", 5, "short veg", 6, "cultivated", 7, "tall veg", 8, "water", 9, "snow/ice", 10, "cropland", 11, "built up")</f>
        <v>cropland</v>
      </c>
      <c r="K19" t="str" cm="1">
        <f t="array" ref="K19">_xlfn.SWITCH(VLOOKUP($A19, scenarios!$A$2:$N$19, K$1, 0), 0, "bare", 1, "short veg", 2, "cultivated", 3, "tall veg", 4, "wetland", 5, "short veg", 6, "cultivated", 7, "tall veg", 8, "water", 9, "snow/ice", 10, "cropland", 11, "built up")</f>
        <v>cropland</v>
      </c>
      <c r="L19" t="str" cm="1">
        <f t="array" ref="L19">_xlfn.SWITCH(VLOOKUP($A19, scenarios!$A$2:$N$19, L$1, 0), 0, "bare", 1, "short veg", 2, "cultivated", 3, "tall veg", 4, "wetland", 5, "short veg", 6, "cultivated", 7, "tall veg", 8, "water", 9, "snow/ice", 10, "cropland", 11, "built up")</f>
        <v>cropland</v>
      </c>
      <c r="M19" t="str" cm="1">
        <f t="array" ref="M19">_xlfn.SWITCH(VLOOKUP($A19, scenarios!$A$2:$N$19, M$1, 0), 0, "bare", 1, "short veg", 2, "cultivated", 3, "tall veg", 4, "wetland", 5, "short veg", 6, "cultivated", 7, "tall veg", 8, "water", 9, "snow/ice", 10, "cropland", 11, "built up")</f>
        <v>cropland</v>
      </c>
      <c r="N19" t="str" cm="1">
        <f t="array" ref="N19">_xlfn.SWITCH(VLOOKUP($A19, scenarios!$A$2:$N$19, N$1, 0), 0, "bare", 1, "short veg", 2, "cultivated", 3, "tall veg", 4, "wetland", 5, "short veg", 6, "cultivated", 7, "tall veg", 8, "water", 9, "snow/ice", 10, "cropland", 11, "built up")</f>
        <v>cropland</v>
      </c>
      <c r="O19" t="str" cm="1">
        <f t="array" ref="O19">IFERROR(_xlfn.SWITCH(VLOOKUP($A19, scenarios!$A$2:$Q$19, O$1, 0), 1, "Permanent agriculture", 2, "Hard commodities", 3, "Shifting cultivation", 4, "Logging", 5, "Wildfire", 6, "Settlements &amp; infrastructure", 7, "Other natural disturbances"), "")</f>
        <v/>
      </c>
      <c r="P19" t="str" cm="1">
        <f t="array" ref="P19">IFERROR(_xlfn.SWITCH(VLOOKUP($A19, scenarios!$A$2:$Q$19, P$1, 0), 1, "oil palm", 2, "wood fiber", 3, "other"), "")</f>
        <v/>
      </c>
      <c r="Q19" t="str" cm="1">
        <f t="array" ref="Q19">IFERROR(_xlfn.SWITCH(VLOOKUP($A19, scenarios!$A$2:$Q$19, Q$1, 0), 1, "yes"), "")</f>
        <v/>
      </c>
      <c r="T19" t="s">
        <v>55</v>
      </c>
      <c r="W19" s="9" t="s">
        <v>8</v>
      </c>
    </row>
    <row r="20" spans="1:23" x14ac:dyDescent="0.3">
      <c r="A20" s="8">
        <v>18</v>
      </c>
      <c r="B20" t="str" cm="1">
        <f t="array" ref="B20">_xlfn.SWITCH(VLOOKUP($A20, scenarios!$A$2:$N$19, B$1, 0), 0, "bare", 1, "short veg", 2, "cultivated", 3, "tall veg", 4, "wetland", 5, "short veg", 6, "cultivated", 7, "tall veg", 8, "water", 9, "snow/ice", 10, "cropland", 11, "built up")</f>
        <v>tall veg</v>
      </c>
      <c r="C20" t="str" cm="1">
        <f t="array" ref="C20">_xlfn.SWITCH(VLOOKUP($A20, scenarios!$A$2:$N$19, C$1, 0), 0, "bare", 1, "short veg", 2, "cultivated", 3, "tall veg", 4, "wetland", 5, "short veg", 6, "cultivated", 7, "tall veg", 8, "water", 9, "snow/ice", 10, "cropland", 11, "built up")</f>
        <v>tall veg</v>
      </c>
      <c r="D20" t="str" cm="1">
        <f t="array" ref="D20">_xlfn.SWITCH(VLOOKUP($A20, scenarios!$A$2:$N$19, D$1, 0), 0, "bare", 1, "short veg", 2, "cultivated", 3, "tall veg", 4, "wetland", 5, "short veg", 6, "cultivated", 7, "tall veg", 8, "water", 9, "snow/ice", 10, "cropland", 11, "built up")</f>
        <v>tall veg</v>
      </c>
      <c r="E20" t="str" cm="1">
        <f t="array" ref="E20">_xlfn.SWITCH(VLOOKUP($A20, scenarios!$A$2:$N$19, E$1, 0), 0, "bare", 1, "short veg", 2, "cultivated", 3, "tall veg", 4, "wetland", 5, "short veg", 6, "cultivated", 7, "tall veg", 8, "water", 9, "snow/ice", 10, "cropland", 11, "built up")</f>
        <v>tall veg</v>
      </c>
      <c r="F20" t="str" cm="1">
        <f t="array" ref="F20">_xlfn.SWITCH(VLOOKUP($A20, scenarios!$A$2:$N$19, F$1, 0), 0, "bare", 1, "short veg", 2, "cultivated", 3, "tall veg", 4, "wetland", 5, "short veg", 6, "cultivated", 7, "tall veg", 8, "water", 9, "snow/ice", 10, "cropland", 11, "built up")</f>
        <v>tall veg</v>
      </c>
      <c r="G20" t="str" cm="1">
        <f t="array" ref="G20">_xlfn.SWITCH(VLOOKUP($A20, scenarios!$A$2:$N$19, G$1, 0), 0, "bare", 1, "short veg", 2, "cultivated", 3, "tall veg", 4, "wetland", 5, "short veg", 6, "cultivated", 7, "tall veg", 8, "water", 9, "snow/ice", 10, "cropland", 11, "built up")</f>
        <v>tall veg</v>
      </c>
      <c r="H20" t="str" cm="1">
        <f t="array" ref="H20">_xlfn.SWITCH(VLOOKUP($A20, scenarios!$A$2:$N$19, H$1, 0), 0, "bare", 1, "short veg", 2, "cultivated", 3, "tall veg", 4, "wetland", 5, "short veg", 6, "cultivated", 7, "tall veg", 8, "water", 9, "snow/ice", 10, "cropland", 11, "built up")</f>
        <v>tall veg</v>
      </c>
      <c r="I20" t="str" cm="1">
        <f t="array" ref="I20">_xlfn.SWITCH(VLOOKUP($A20, scenarios!$A$2:$N$19, I$1, 0), 0, "bare", 1, "short veg", 2, "cultivated", 3, "tall veg", 4, "wetland", 5, "short veg", 6, "cultivated", 7, "tall veg", 8, "water", 9, "snow/ice", 10, "cropland", 11, "built up")</f>
        <v>tall veg</v>
      </c>
      <c r="J20" t="str" cm="1">
        <f t="array" ref="J20">_xlfn.SWITCH(VLOOKUP($A20, scenarios!$A$2:$N$19, J$1, 0), 0, "bare", 1, "short veg", 2, "cultivated", 3, "tall veg", 4, "wetland", 5, "short veg", 6, "cultivated", 7, "tall veg", 8, "water", 9, "snow/ice", 10, "cropland", 11, "built up")</f>
        <v>tall veg</v>
      </c>
      <c r="K20" t="str" cm="1">
        <f t="array" ref="K20">_xlfn.SWITCH(VLOOKUP($A20, scenarios!$A$2:$N$19, K$1, 0), 0, "bare", 1, "short veg", 2, "cultivated", 3, "tall veg", 4, "wetland", 5, "short veg", 6, "cultivated", 7, "tall veg", 8, "water", 9, "snow/ice", 10, "cropland", 11, "built up")</f>
        <v>tall veg</v>
      </c>
      <c r="L20" t="str" cm="1">
        <f t="array" ref="L20">_xlfn.SWITCH(VLOOKUP($A20, scenarios!$A$2:$N$19, L$1, 0), 0, "bare", 1, "short veg", 2, "cultivated", 3, "tall veg", 4, "wetland", 5, "short veg", 6, "cultivated", 7, "tall veg", 8, "water", 9, "snow/ice", 10, "cropland", 11, "built up")</f>
        <v>tall veg</v>
      </c>
      <c r="M20" t="str" cm="1">
        <f t="array" ref="M20">_xlfn.SWITCH(VLOOKUP($A20, scenarios!$A$2:$N$19, M$1, 0), 0, "bare", 1, "short veg", 2, "cultivated", 3, "tall veg", 4, "wetland", 5, "short veg", 6, "cultivated", 7, "tall veg", 8, "water", 9, "snow/ice", 10, "cropland", 11, "built up")</f>
        <v>tall veg</v>
      </c>
      <c r="N20" t="str" cm="1">
        <f t="array" ref="N20">_xlfn.SWITCH(VLOOKUP($A20, scenarios!$A$2:$N$19, N$1, 0), 0, "bare", 1, "short veg", 2, "cultivated", 3, "tall veg", 4, "wetland", 5, "short veg", 6, "cultivated", 7, "tall veg", 8, "water", 9, "snow/ice", 10, "cropland", 11, "built up")</f>
        <v>tall veg</v>
      </c>
      <c r="O20" t="str" cm="1">
        <f t="array" ref="O20">IFERROR(_xlfn.SWITCH(VLOOKUP($A20, scenarios!$A$2:$Q$19, O$1, 0), 1, "Permanent agriculture", 2, "Hard commodities", 3, "Shifting cultivation", 4, "Logging", 5, "Wildfire", 6, "Settlements &amp; infrastructure", 7, "Other natural disturbances"), "")</f>
        <v>Shifting cultivation</v>
      </c>
      <c r="P20" t="str" cm="1">
        <f t="array" ref="P20">IFERROR(_xlfn.SWITCH(VLOOKUP($A20, scenarios!$A$2:$Q$19, P$1, 0), 1, "oil palm", 2, "wood fiber", 3, "other"), "")</f>
        <v/>
      </c>
      <c r="Q20" t="str" cm="1">
        <f t="array" ref="Q20">IFERROR(_xlfn.SWITCH(VLOOKUP($A20, scenarios!$A$2:$Q$19, Q$1, 0), 1, "yes"), "")</f>
        <v/>
      </c>
      <c r="T20" t="s">
        <v>53</v>
      </c>
      <c r="W20" s="9" t="s">
        <v>54</v>
      </c>
    </row>
    <row r="21" spans="1:23" x14ac:dyDescent="0.3">
      <c r="A21" s="8">
        <v>19</v>
      </c>
    </row>
    <row r="22" spans="1:23" x14ac:dyDescent="0.3">
      <c r="A22" s="8">
        <v>20</v>
      </c>
    </row>
    <row r="23" spans="1:23" x14ac:dyDescent="0.3">
      <c r="A23" s="8">
        <v>21</v>
      </c>
    </row>
    <row r="24" spans="1:23" x14ac:dyDescent="0.3">
      <c r="A24" s="8">
        <v>22</v>
      </c>
    </row>
    <row r="25" spans="1:23" x14ac:dyDescent="0.3">
      <c r="A25" s="8">
        <v>23</v>
      </c>
    </row>
    <row r="26" spans="1:23" x14ac:dyDescent="0.3">
      <c r="A26" s="8">
        <v>24</v>
      </c>
    </row>
    <row r="27" spans="1:23" x14ac:dyDescent="0.3">
      <c r="A27" s="8">
        <v>25</v>
      </c>
    </row>
    <row r="28" spans="1:23" x14ac:dyDescent="0.3">
      <c r="A28" s="8">
        <v>26</v>
      </c>
    </row>
    <row r="29" spans="1:23" x14ac:dyDescent="0.3">
      <c r="A29" s="8">
        <v>27</v>
      </c>
    </row>
    <row r="30" spans="1:23" x14ac:dyDescent="0.3">
      <c r="A30" s="8">
        <v>28</v>
      </c>
    </row>
    <row r="31" spans="1:23" x14ac:dyDescent="0.3">
      <c r="A31" s="8">
        <v>29</v>
      </c>
    </row>
    <row r="32" spans="1:23" x14ac:dyDescent="0.3">
      <c r="A32" s="8">
        <v>30</v>
      </c>
    </row>
    <row r="33" spans="1:1" x14ac:dyDescent="0.3">
      <c r="A33" s="8">
        <v>31</v>
      </c>
    </row>
    <row r="34" spans="1:1" x14ac:dyDescent="0.3">
      <c r="A34" s="8">
        <v>32</v>
      </c>
    </row>
    <row r="35" spans="1:1" x14ac:dyDescent="0.3">
      <c r="A35" s="8">
        <v>33</v>
      </c>
    </row>
    <row r="36" spans="1:1" x14ac:dyDescent="0.3">
      <c r="A36" s="8">
        <v>34</v>
      </c>
    </row>
    <row r="37" spans="1:1" x14ac:dyDescent="0.3">
      <c r="A37" s="8">
        <v>35</v>
      </c>
    </row>
    <row r="38" spans="1:1" x14ac:dyDescent="0.3">
      <c r="A38" s="8">
        <v>36</v>
      </c>
    </row>
    <row r="39" spans="1:1" x14ac:dyDescent="0.3">
      <c r="A39" s="8">
        <v>37</v>
      </c>
    </row>
    <row r="40" spans="1:1" x14ac:dyDescent="0.3">
      <c r="A40" s="8">
        <v>38</v>
      </c>
    </row>
    <row r="41" spans="1:1" x14ac:dyDescent="0.3">
      <c r="A41" s="8">
        <v>39</v>
      </c>
    </row>
    <row r="42" spans="1:1" x14ac:dyDescent="0.3">
      <c r="A42" s="8">
        <v>40</v>
      </c>
    </row>
    <row r="43" spans="1:1" x14ac:dyDescent="0.3">
      <c r="A43" s="8">
        <v>41</v>
      </c>
    </row>
    <row r="44" spans="1:1" x14ac:dyDescent="0.3">
      <c r="A44" s="8">
        <v>42</v>
      </c>
    </row>
    <row r="45" spans="1:1" x14ac:dyDescent="0.3">
      <c r="A45" s="8">
        <v>43</v>
      </c>
    </row>
    <row r="46" spans="1:1" x14ac:dyDescent="0.3">
      <c r="A46" s="8">
        <v>44</v>
      </c>
    </row>
    <row r="47" spans="1:1" x14ac:dyDescent="0.3">
      <c r="A47" s="8">
        <v>45</v>
      </c>
    </row>
    <row r="48" spans="1:1" x14ac:dyDescent="0.3">
      <c r="A48" s="8">
        <v>46</v>
      </c>
    </row>
    <row r="49" spans="1:1" x14ac:dyDescent="0.3">
      <c r="A49" s="8">
        <v>47</v>
      </c>
    </row>
    <row r="50" spans="1:1" x14ac:dyDescent="0.3">
      <c r="A50" s="8">
        <v>48</v>
      </c>
    </row>
    <row r="51" spans="1:1" x14ac:dyDescent="0.3">
      <c r="A51" s="8">
        <v>49</v>
      </c>
    </row>
    <row r="52" spans="1:1" x14ac:dyDescent="0.3">
      <c r="A52" s="8">
        <v>50</v>
      </c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</sheetData>
  <conditionalFormatting sqref="B1:T1 B2:N1048576">
    <cfRule type="cellIs" dxfId="3" priority="3" operator="equal">
      <formula>"short veg"</formula>
    </cfRule>
    <cfRule type="cellIs" dxfId="2" priority="4" operator="equal">
      <formula>"tall veg"</formula>
    </cfRule>
  </conditionalFormatting>
  <conditionalFormatting sqref="B1:N1048576">
    <cfRule type="cellIs" dxfId="1" priority="1" operator="equal">
      <formula>"cropland"</formula>
    </cfRule>
    <cfRule type="cellIs" dxfId="0" priority="2" operator="equal">
      <formula>"cultivated"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69BE-4A40-4EC7-A222-4C7CF84FD0F2}">
  <dimension ref="A1:Q6"/>
  <sheetViews>
    <sheetView topLeftCell="B1" workbookViewId="0">
      <selection activeCell="P6" sqref="P6"/>
    </sheetView>
  </sheetViews>
  <sheetFormatPr defaultRowHeight="14.4" x14ac:dyDescent="0.3"/>
  <cols>
    <col min="1" max="1" width="11.21875" hidden="1" customWidth="1"/>
    <col min="14" max="14" width="9.21875" customWidth="1"/>
    <col min="16" max="16" width="10.77734375" customWidth="1"/>
    <col min="17" max="17" width="13.88671875" bestFit="1" customWidth="1"/>
  </cols>
  <sheetData>
    <row r="1" spans="1:17" ht="28.8" x14ac:dyDescent="0.3">
      <c r="A1" t="s">
        <v>9</v>
      </c>
      <c r="B1" s="1">
        <v>2000</v>
      </c>
      <c r="C1" s="1">
        <v>2005</v>
      </c>
      <c r="D1" s="1">
        <v>2010</v>
      </c>
      <c r="E1" s="1">
        <v>2015</v>
      </c>
      <c r="F1" s="1">
        <v>2016</v>
      </c>
      <c r="G1" s="1">
        <v>2017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2" t="s">
        <v>0</v>
      </c>
      <c r="P1" s="2" t="s">
        <v>10</v>
      </c>
      <c r="Q1" s="2" t="s">
        <v>1</v>
      </c>
    </row>
    <row r="2" spans="1:17" ht="29.55" customHeight="1" x14ac:dyDescent="0.3">
      <c r="A2">
        <v>1</v>
      </c>
      <c r="B2" s="1">
        <v>7</v>
      </c>
      <c r="C2" s="1">
        <v>7</v>
      </c>
      <c r="D2" s="1">
        <v>7</v>
      </c>
      <c r="E2" s="1">
        <v>7</v>
      </c>
      <c r="F2" s="1">
        <v>7</v>
      </c>
      <c r="G2" s="1">
        <v>10</v>
      </c>
      <c r="H2" s="1">
        <v>10</v>
      </c>
      <c r="I2" s="1">
        <v>7</v>
      </c>
      <c r="J2" s="1">
        <v>7</v>
      </c>
      <c r="K2" s="1">
        <v>7</v>
      </c>
      <c r="L2" s="1">
        <v>10</v>
      </c>
      <c r="M2" s="1">
        <v>10</v>
      </c>
      <c r="N2" s="2" t="s">
        <v>3</v>
      </c>
      <c r="P2" s="2" t="s">
        <v>2</v>
      </c>
      <c r="Q2" s="4" t="s">
        <v>4</v>
      </c>
    </row>
    <row r="3" spans="1:17" ht="87" customHeight="1" x14ac:dyDescent="0.3">
      <c r="A3">
        <v>2</v>
      </c>
      <c r="B3" s="1">
        <v>7</v>
      </c>
      <c r="C3" s="1">
        <v>7</v>
      </c>
      <c r="D3" s="1">
        <v>7</v>
      </c>
      <c r="E3" s="1">
        <v>7</v>
      </c>
      <c r="F3" s="1">
        <v>7</v>
      </c>
      <c r="G3" s="1">
        <v>7</v>
      </c>
      <c r="H3" s="1">
        <v>7</v>
      </c>
      <c r="I3" s="1">
        <v>7</v>
      </c>
      <c r="J3" s="1">
        <v>7</v>
      </c>
      <c r="K3" s="1">
        <v>7</v>
      </c>
      <c r="L3" s="1">
        <v>10</v>
      </c>
      <c r="M3" s="1">
        <v>10</v>
      </c>
      <c r="N3" s="2" t="s">
        <v>3</v>
      </c>
      <c r="P3" s="2" t="s">
        <v>5</v>
      </c>
      <c r="Q3" s="4" t="s">
        <v>6</v>
      </c>
    </row>
    <row r="4" spans="1:17" ht="29.55" customHeight="1" x14ac:dyDescent="0.3">
      <c r="A4">
        <v>3</v>
      </c>
      <c r="B4" s="1">
        <v>10</v>
      </c>
      <c r="C4" s="1">
        <v>10</v>
      </c>
      <c r="D4" s="1">
        <v>7</v>
      </c>
      <c r="E4" s="1">
        <v>7</v>
      </c>
      <c r="F4" s="1">
        <v>7</v>
      </c>
      <c r="G4" s="1">
        <v>7</v>
      </c>
      <c r="H4" s="1">
        <v>10</v>
      </c>
      <c r="I4" s="1">
        <v>7</v>
      </c>
      <c r="J4" s="1">
        <v>7</v>
      </c>
      <c r="K4" s="1">
        <v>7</v>
      </c>
      <c r="L4" s="1">
        <v>10</v>
      </c>
      <c r="M4" s="1">
        <v>10</v>
      </c>
      <c r="N4" s="2" t="s">
        <v>3</v>
      </c>
      <c r="P4" s="2" t="s">
        <v>2</v>
      </c>
      <c r="Q4" s="4" t="s">
        <v>7</v>
      </c>
    </row>
    <row r="5" spans="1:17" ht="29.55" customHeight="1" x14ac:dyDescent="0.3">
      <c r="A5">
        <v>4</v>
      </c>
      <c r="B5" s="1">
        <v>5</v>
      </c>
      <c r="C5" s="1">
        <v>5</v>
      </c>
      <c r="D5" s="1">
        <v>7</v>
      </c>
      <c r="E5" s="1">
        <v>7</v>
      </c>
      <c r="F5" s="1">
        <v>7</v>
      </c>
      <c r="G5" s="1">
        <v>7</v>
      </c>
      <c r="H5" s="1">
        <v>5</v>
      </c>
      <c r="I5" s="1">
        <v>7</v>
      </c>
      <c r="J5" s="1">
        <v>7</v>
      </c>
      <c r="K5" s="1">
        <v>7</v>
      </c>
      <c r="L5" s="1">
        <v>5</v>
      </c>
      <c r="M5" s="1">
        <v>5</v>
      </c>
      <c r="N5" s="2" t="s">
        <v>3</v>
      </c>
      <c r="P5" s="2" t="s">
        <v>2</v>
      </c>
      <c r="Q5" s="4" t="s">
        <v>7</v>
      </c>
    </row>
    <row r="6" spans="1:17" ht="28.95" customHeight="1" x14ac:dyDescent="0.3">
      <c r="A6">
        <v>5</v>
      </c>
      <c r="B6" s="1">
        <v>7</v>
      </c>
      <c r="C6" s="1">
        <v>10</v>
      </c>
      <c r="D6" s="1">
        <v>7</v>
      </c>
      <c r="E6" s="1">
        <v>10</v>
      </c>
      <c r="F6" s="1">
        <v>7</v>
      </c>
      <c r="G6" s="1">
        <v>7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2"/>
      <c r="P6" s="2" t="s">
        <v>8</v>
      </c>
      <c r="Q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FC96-1AA0-4D5A-9EAB-2281FD714450}">
  <dimension ref="A1:B12"/>
  <sheetViews>
    <sheetView workbookViewId="0"/>
  </sheetViews>
  <sheetFormatPr defaultRowHeight="14.4" x14ac:dyDescent="0.3"/>
  <cols>
    <col min="1" max="1" width="14.109375" customWidth="1"/>
  </cols>
  <sheetData>
    <row r="1" spans="1:2" ht="16.95" customHeight="1" x14ac:dyDescent="0.3">
      <c r="A1" s="3" t="s">
        <v>16</v>
      </c>
      <c r="B1" s="5">
        <v>0</v>
      </c>
    </row>
    <row r="2" spans="1:2" ht="16.95" customHeight="1" x14ac:dyDescent="0.3">
      <c r="A2" s="3" t="s">
        <v>19</v>
      </c>
      <c r="B2" s="5">
        <v>1</v>
      </c>
    </row>
    <row r="3" spans="1:2" ht="16.95" customHeight="1" x14ac:dyDescent="0.3">
      <c r="A3" s="3" t="s">
        <v>20</v>
      </c>
      <c r="B3" s="5">
        <v>2</v>
      </c>
    </row>
    <row r="4" spans="1:2" ht="16.95" customHeight="1" x14ac:dyDescent="0.3">
      <c r="A4" s="3" t="s">
        <v>22</v>
      </c>
      <c r="B4" s="5">
        <v>3</v>
      </c>
    </row>
    <row r="5" spans="1:2" ht="16.95" customHeight="1" x14ac:dyDescent="0.3">
      <c r="A5" s="3" t="s">
        <v>11</v>
      </c>
      <c r="B5" s="5">
        <v>4</v>
      </c>
    </row>
    <row r="6" spans="1:2" ht="16.95" customHeight="1" x14ac:dyDescent="0.3">
      <c r="A6" s="3" t="s">
        <v>17</v>
      </c>
      <c r="B6" s="5">
        <v>5</v>
      </c>
    </row>
    <row r="7" spans="1:2" ht="16.95" customHeight="1" x14ac:dyDescent="0.3">
      <c r="A7" s="3" t="s">
        <v>18</v>
      </c>
      <c r="B7" s="5">
        <v>6</v>
      </c>
    </row>
    <row r="8" spans="1:2" ht="16.95" customHeight="1" x14ac:dyDescent="0.3">
      <c r="A8" s="3" t="s">
        <v>23</v>
      </c>
      <c r="B8" s="5">
        <v>7</v>
      </c>
    </row>
    <row r="9" spans="1:2" ht="16.95" customHeight="1" x14ac:dyDescent="0.3">
      <c r="A9" s="3" t="s">
        <v>12</v>
      </c>
      <c r="B9" s="5">
        <v>8</v>
      </c>
    </row>
    <row r="10" spans="1:2" ht="16.95" customHeight="1" x14ac:dyDescent="0.3">
      <c r="A10" s="3" t="s">
        <v>13</v>
      </c>
      <c r="B10" s="5">
        <v>9</v>
      </c>
    </row>
    <row r="11" spans="1:2" ht="16.95" customHeight="1" x14ac:dyDescent="0.3">
      <c r="A11" s="3" t="s">
        <v>14</v>
      </c>
      <c r="B11" s="5">
        <v>10</v>
      </c>
    </row>
    <row r="12" spans="1:2" ht="16.95" customHeight="1" x14ac:dyDescent="0.3">
      <c r="A12" s="3" t="s">
        <v>15</v>
      </c>
      <c r="B12" s="5">
        <v>11</v>
      </c>
    </row>
  </sheetData>
  <sortState xmlns:xlrd2="http://schemas.microsoft.com/office/spreadsheetml/2017/richdata2" ref="A2:B12">
    <sortCondition ref="B1:B12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</vt:lpstr>
      <vt:lpstr>scenarios_switch</vt:lpstr>
      <vt:lpstr>scenarios (2)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Gibbs</dc:creator>
  <cp:lastModifiedBy>Melissa Rose</cp:lastModifiedBy>
  <dcterms:created xsi:type="dcterms:W3CDTF">2015-06-05T18:17:20Z</dcterms:created>
  <dcterms:modified xsi:type="dcterms:W3CDTF">2025-11-13T00:59:24Z</dcterms:modified>
</cp:coreProperties>
</file>