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54522CD7-E9E1-451D-8CB6-990F926B2213}" xr6:coauthVersionLast="47" xr6:coauthVersionMax="47" xr10:uidLastSave="{00000000-0000-0000-0000-000000000000}"/>
  <bookViews>
    <workbookView xWindow="28680" yWindow="-9795" windowWidth="29040" windowHeight="15720" activeTab="3" xr2:uid="{00000000-000D-0000-FFFF-FFFF00000000}"/>
  </bookViews>
  <sheets>
    <sheet name="v030_20250430" sheetId="1" r:id="rId1"/>
    <sheet name="v040_20250713" sheetId="3" r:id="rId2"/>
    <sheet name="v042_20250805" sheetId="2" r:id="rId3"/>
    <sheet name="v102_20251027" sheetId="4" r:id="rId4"/>
  </sheets>
  <definedNames>
    <definedName name="_xlnm._FilterDatabase" localSheetId="1" hidden="1">v040_20250713!$A$1:$F$1</definedName>
    <definedName name="_xlnm._FilterDatabase" localSheetId="2" hidden="1">v042_20250805!$A$1:$F$1</definedName>
    <definedName name="_xlnm._FilterDatabase" localSheetId="3" hidden="1">v102_20251027!$A$1:$F$1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C2" i="4" s="1"/>
  <c r="B3" i="4"/>
  <c r="C3" i="4" s="1"/>
  <c r="B96" i="4"/>
  <c r="C96" i="4" s="1"/>
  <c r="B95" i="4"/>
  <c r="C95" i="4" s="1"/>
  <c r="B94" i="4"/>
  <c r="C94" i="4" s="1"/>
  <c r="B93" i="4"/>
  <c r="C93" i="4" s="1"/>
  <c r="B92" i="4"/>
  <c r="C92" i="4" s="1"/>
  <c r="B91" i="4"/>
  <c r="C91" i="4" s="1"/>
  <c r="B90" i="4"/>
  <c r="C90" i="4" s="1"/>
  <c r="B89" i="4"/>
  <c r="C89" i="4" s="1"/>
  <c r="B88" i="4"/>
  <c r="C88" i="4" s="1"/>
  <c r="B87" i="4"/>
  <c r="C87" i="4" s="1"/>
  <c r="B86" i="4"/>
  <c r="C86" i="4" s="1"/>
  <c r="B85" i="4"/>
  <c r="C85" i="4" s="1"/>
  <c r="B84" i="4"/>
  <c r="C84" i="4" s="1"/>
  <c r="B83" i="4"/>
  <c r="C83" i="4" s="1"/>
  <c r="B82" i="4"/>
  <c r="C82" i="4" s="1"/>
  <c r="B81" i="4"/>
  <c r="C81" i="4" s="1"/>
  <c r="B80" i="4"/>
  <c r="C80" i="4" s="1"/>
  <c r="B79" i="4"/>
  <c r="C79" i="4" s="1"/>
  <c r="B78" i="4"/>
  <c r="C78" i="4" s="1"/>
  <c r="B77" i="4"/>
  <c r="C77" i="4" s="1"/>
  <c r="B76" i="4"/>
  <c r="C76" i="4" s="1"/>
  <c r="B75" i="4"/>
  <c r="C75" i="4" s="1"/>
  <c r="B74" i="4"/>
  <c r="C74" i="4" s="1"/>
  <c r="B73" i="4"/>
  <c r="C73" i="4" s="1"/>
  <c r="B72" i="4"/>
  <c r="C72" i="4" s="1"/>
  <c r="B71" i="4"/>
  <c r="C71" i="4" s="1"/>
  <c r="B70" i="4"/>
  <c r="C70" i="4" s="1"/>
  <c r="B69" i="4"/>
  <c r="C69" i="4" s="1"/>
  <c r="B68" i="4"/>
  <c r="C68" i="4" s="1"/>
  <c r="B67" i="4"/>
  <c r="C67" i="4" s="1"/>
  <c r="B66" i="4"/>
  <c r="C66" i="4" s="1"/>
  <c r="B65" i="4"/>
  <c r="C65" i="4" s="1"/>
  <c r="B64" i="4"/>
  <c r="C64" i="4" s="1"/>
  <c r="B63" i="4"/>
  <c r="C63" i="4" s="1"/>
  <c r="B62" i="4"/>
  <c r="C62" i="4" s="1"/>
  <c r="B61" i="4"/>
  <c r="C61" i="4" s="1"/>
  <c r="B60" i="4"/>
  <c r="C60" i="4" s="1"/>
  <c r="B59" i="4"/>
  <c r="C59" i="4" s="1"/>
  <c r="B58" i="4"/>
  <c r="C58" i="4" s="1"/>
  <c r="B57" i="4"/>
  <c r="C57" i="4" s="1"/>
  <c r="B56" i="4"/>
  <c r="C56" i="4" s="1"/>
  <c r="B55" i="4"/>
  <c r="C55" i="4" s="1"/>
  <c r="B54" i="4"/>
  <c r="C54" i="4" s="1"/>
  <c r="B53" i="4"/>
  <c r="C53" i="4" s="1"/>
  <c r="B52" i="4"/>
  <c r="C52" i="4" s="1"/>
  <c r="B51" i="4"/>
  <c r="C51" i="4" s="1"/>
  <c r="B50" i="4"/>
  <c r="C50" i="4" s="1"/>
  <c r="B49" i="4"/>
  <c r="C49" i="4" s="1"/>
  <c r="B48" i="4"/>
  <c r="C48" i="4" s="1"/>
  <c r="B47" i="4"/>
  <c r="C47" i="4" s="1"/>
  <c r="B46" i="4"/>
  <c r="C46" i="4" s="1"/>
  <c r="B45" i="4"/>
  <c r="C45" i="4" s="1"/>
  <c r="B44" i="4"/>
  <c r="C44" i="4" s="1"/>
  <c r="B43" i="4"/>
  <c r="C43" i="4" s="1"/>
  <c r="B42" i="4"/>
  <c r="C42" i="4" s="1"/>
  <c r="B41" i="4"/>
  <c r="C41" i="4" s="1"/>
  <c r="B40" i="4"/>
  <c r="C40" i="4" s="1"/>
  <c r="B39" i="4"/>
  <c r="C39" i="4" s="1"/>
  <c r="B38" i="4"/>
  <c r="C38" i="4" s="1"/>
  <c r="B37" i="4"/>
  <c r="C37" i="4" s="1"/>
  <c r="B36" i="4"/>
  <c r="C36" i="4" s="1"/>
  <c r="B35" i="4"/>
  <c r="C35" i="4" s="1"/>
  <c r="B34" i="4"/>
  <c r="C34" i="4" s="1"/>
  <c r="B33" i="4"/>
  <c r="C33" i="4" s="1"/>
  <c r="B32" i="4"/>
  <c r="C32" i="4" s="1"/>
  <c r="B31" i="4"/>
  <c r="C31" i="4" s="1"/>
  <c r="B30" i="4"/>
  <c r="C30" i="4" s="1"/>
  <c r="B29" i="4"/>
  <c r="C29" i="4" s="1"/>
  <c r="B28" i="4"/>
  <c r="C28" i="4" s="1"/>
  <c r="B27" i="4"/>
  <c r="C27" i="4" s="1"/>
  <c r="B26" i="4"/>
  <c r="C26" i="4" s="1"/>
  <c r="B25" i="4"/>
  <c r="C25" i="4" s="1"/>
  <c r="B24" i="4"/>
  <c r="C24" i="4" s="1"/>
  <c r="B23" i="4"/>
  <c r="C23" i="4" s="1"/>
  <c r="B22" i="4"/>
  <c r="C22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2" i="3"/>
  <c r="C2" i="3"/>
  <c r="B3" i="3"/>
  <c r="C3" i="3"/>
  <c r="B4" i="3"/>
  <c r="C4" i="3" s="1"/>
  <c r="B5" i="3"/>
  <c r="C5" i="3"/>
  <c r="B6" i="3"/>
  <c r="C6" i="3"/>
  <c r="B7" i="3"/>
  <c r="C7" i="3" s="1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 s="1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 s="1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2" i="2" l="1"/>
  <c r="C82" i="2"/>
  <c r="B78" i="2"/>
  <c r="C78" i="2" s="1"/>
  <c r="B79" i="2"/>
  <c r="C79" i="2" s="1"/>
  <c r="B80" i="2"/>
  <c r="C80" i="2" s="1"/>
  <c r="B81" i="2"/>
  <c r="C81" i="2" s="1"/>
  <c r="B72" i="2"/>
  <c r="C72" i="2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3" i="2"/>
  <c r="C73" i="2" s="1"/>
  <c r="B74" i="2"/>
  <c r="C74" i="2" s="1"/>
  <c r="B75" i="2"/>
  <c r="C75" i="2" s="1"/>
  <c r="B76" i="2"/>
  <c r="C76" i="2" s="1"/>
  <c r="B77" i="2"/>
  <c r="C77" i="2" s="1"/>
  <c r="B2" i="2"/>
  <c r="C2" i="2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<sst xmlns="http://schemas.openxmlformats.org/spreadsheetml/2006/main" count="867" uniqueCount="190">
  <si>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</si>
  <si>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</si>
  <si>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</si>
  <si>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</si>
  <si>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</si>
  <si>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</si>
  <si>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</si>
  <si>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</si>
  <si>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</si>
  <si>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</si>
  <si>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</si>
  <si>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</si>
  <si>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</si>
  <si>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</si>
  <si>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</si>
  <si>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</si>
  <si>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</si>
  <si>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</si>
  <si>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</si>
  <si>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</si>
  <si>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</si>
  <si>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</si>
  <si>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</si>
  <si>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</si>
  <si>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</si>
  <si>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</si>
  <si>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</si>
  <si>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</si>
  <si>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</si>
  <si>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</si>
  <si>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</si>
  <si>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</si>
  <si>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</si>
  <si>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</si>
  <si>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</si>
  <si>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</si>
  <si>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</si>
  <si>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</si>
  <si>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</si>
  <si>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</si>
  <si>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</si>
  <si>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</si>
  <si>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</si>
  <si>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</si>
  <si>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</si>
  <si>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</si>
  <si>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</si>
  <si>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</si>
  <si>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</si>
  <si>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</si>
  <si>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</si>
  <si>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</si>
  <si>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</si>
  <si>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</si>
  <si>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</si>
  <si>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</si>
  <si>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</si>
  <si>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</si>
  <si>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</si>
  <si>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</si>
  <si>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</si>
  <si>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</si>
  <si>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</si>
  <si>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</si>
  <si>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</si>
  <si>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</si>
  <si>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</si>
  <si>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</si>
  <si>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</si>
  <si>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</si>
  <si>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</si>
  <si>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</si>
  <si>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</si>
  <si>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</si>
  <si>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</si>
  <si>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</si>
  <si>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</si>
  <si>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</si>
  <si>
    <t>state_nodes_unpadded</t>
  </si>
  <si>
    <t>Gain of oil palm (incl. SDPT oil palm)</t>
  </si>
  <si>
    <t>Gain of non-oil palm planted trees</t>
  </si>
  <si>
    <t>Gain of terrestrial natural forest</t>
  </si>
  <si>
    <t>Gain of trees outside forests</t>
  </si>
  <si>
    <t>Full loss of oil palm (incl. SDPT) with fire</t>
  </si>
  <si>
    <t>Full loss of oil palm (incl. SDPT) without fire</t>
  </si>
  <si>
    <t>Full loss of non-oil palm tree crops as cropland with fire</t>
  </si>
  <si>
    <t>Full loss of non-oil palm tree crops as cropland without fire</t>
  </si>
  <si>
    <t>Full loss of non-oil palm planted forest as cropland with fire</t>
  </si>
  <si>
    <t>Full loss of non-oil palm planted forest as cropland without fire</t>
  </si>
  <si>
    <t>Full loss of non-oil palm tree crops as short vegetation with fire</t>
  </si>
  <si>
    <t>Full loss of non-oil palm tree crops as short vegetation without fire</t>
  </si>
  <si>
    <t>Full loss of non-oil palm planted forest as short vegetation with fire</t>
  </si>
  <si>
    <t>Full loss of non-oil palm planted forest as short vegetation without fire</t>
  </si>
  <si>
    <t>Full loss of non-oil palm tree crops to settlement with fire</t>
  </si>
  <si>
    <t>Full loss of non-oil palm tree crops to settlement without fire</t>
  </si>
  <si>
    <t>Full loss of non-oil palm planted forest to settlement with fire</t>
  </si>
  <si>
    <t>Full loss of non-oil palm planted forest to settlement without fire</t>
  </si>
  <si>
    <t>Full loss of non-oil palm tree crops to anything else without fire</t>
  </si>
  <si>
    <t>Full loss of non-oil palm planted forest to anything else without fire</t>
  </si>
  <si>
    <t>Natural forest converted to cropland with fire</t>
  </si>
  <si>
    <t>Natural forest converted to cropland without fire</t>
  </si>
  <si>
    <t>Natural forest converted to short vegetation with disturbance that emits all non-soil C pools with fire</t>
  </si>
  <si>
    <t>Natural forest converted to short vegetation with disturbance that emits all non-soil C pools without fire</t>
  </si>
  <si>
    <t>Natural forest converted to short vegetation with disturbance that emits biomass C pools only with fire</t>
  </si>
  <si>
    <t>Natural forest converted to short vegetation with disturbance that emits biomass C pools only without fire</t>
  </si>
  <si>
    <t>Natural forest converted to settlement with fire</t>
  </si>
  <si>
    <t>Natural forest converted to settlement without fire</t>
  </si>
  <si>
    <t>Natural forest converted to anything else (wetland/open water/ice, etc.) without fire</t>
  </si>
  <si>
    <t>Full loss of trees outside forests converted to cropland with fire</t>
  </si>
  <si>
    <t>Full loss of trees outside forests converted to cropland without fire</t>
  </si>
  <si>
    <t>Full loss of trees outside forests converted to short vegetation with fire</t>
  </si>
  <si>
    <t>Full loss of trees outside forests converted to short vegetation without fire</t>
  </si>
  <si>
    <t>Full loss of trees outside forests converted to settlement with fire</t>
  </si>
  <si>
    <t>Full loss of trees outside forests converted to settlement without fire</t>
  </si>
  <si>
    <t>Full loss of trees outside forests converted to anything else without fire</t>
  </si>
  <si>
    <t>Non-planted trees with oil palm planted in the next interval with fire</t>
  </si>
  <si>
    <t>Non-planted trees with oil palm planted in the next interval without fire</t>
  </si>
  <si>
    <t>Oil palm partially disturbed in the current interval with signif. height increase after with fire</t>
  </si>
  <si>
    <t>Oil palm partially disturbed in the current interval with signif. height increase after without fire</t>
  </si>
  <si>
    <t>Planted trees partially disturbed in the current interval with signif. height increase after with fire</t>
  </si>
  <si>
    <t>Planted trees partially disturbed in the current interval with signif. height increase after without fire</t>
  </si>
  <si>
    <t>Oil palm partially disturbed in the current interval without signif. height increase after with fire</t>
  </si>
  <si>
    <t>Oil palm partially disturbed in the current interval without signif. height increase after without fire</t>
  </si>
  <si>
    <t>Planted trees partially disturbed in the current interval without signif. height increase after with fire</t>
  </si>
  <si>
    <t>Planted trees partially disturbed in the current interval without signif. height increase after without fire</t>
  </si>
  <si>
    <t>Forest partially disturbed in the current interval with signif. height increase after with fire</t>
  </si>
  <si>
    <t>Forest partially disturbed in the current interval with signif. height increase after without fire</t>
  </si>
  <si>
    <t>Forest partially disturbed in the current interval without signif. height increase after with fire</t>
  </si>
  <si>
    <t>Forest partially disturbed in the current interval without signif. height increase after without fire</t>
  </si>
  <si>
    <t>Trees outside forests partially disturbed in the current interval with signif. height increase after with fire</t>
  </si>
  <si>
    <t>Trees outside forests partially disturbed in the current interval with signif. height increase after without fire</t>
  </si>
  <si>
    <t>Trees outside forests partially disturbed in the current interval without signif. height increase after with fire</t>
  </si>
  <si>
    <t>Trees outside forests partially disturbed in the current interval without signif. height increase after without fire</t>
  </si>
  <si>
    <t>Oil palm not disturbed in the current interval with fire</t>
  </si>
  <si>
    <t>Oil palm not disturbed in the current interval without fire</t>
  </si>
  <si>
    <t>Planted trees not disturbed in the current interval with fire</t>
  </si>
  <si>
    <t>Planted trees not disturbed in the current interval without fire</t>
  </si>
  <si>
    <t>Young secondary natural forest with fire</t>
  </si>
  <si>
    <t>Young secondary natural forest without fire</t>
  </si>
  <si>
    <t>Primary forest undisturbed since model start with fire</t>
  </si>
  <si>
    <t>Primary forest undisturbed since model start without fire</t>
  </si>
  <si>
    <t>Old secondary forest undisturbed since model start with fire</t>
  </si>
  <si>
    <t>Old secondary forest undisturbed since model start without fire</t>
  </si>
  <si>
    <t>Trees outside forests not disturbed in the current interval with fire</t>
  </si>
  <si>
    <t>Trees outside forests not disturbed in the current interval without fire</t>
  </si>
  <si>
    <t>Annual cropland converted to short vegetation with fire</t>
  </si>
  <si>
    <t>Annual cropland converted to short vegetation without fire</t>
  </si>
  <si>
    <t>Annual cropland converted to water</t>
  </si>
  <si>
    <t>Annual cropland converted to anything else with fire</t>
  </si>
  <si>
    <t>Annual cropland converted to anything else without fire</t>
  </si>
  <si>
    <t>Cropland remaining cropland with fire</t>
  </si>
  <si>
    <t>Cropland remaining cropland without fire</t>
  </si>
  <si>
    <t>Short vegetation gain</t>
  </si>
  <si>
    <t>Short vegetation loss converted to water</t>
  </si>
  <si>
    <t>Short vegetation loss converted to non-water with fire</t>
  </si>
  <si>
    <t>Short vegetation loss converted to non-water without fire</t>
  </si>
  <si>
    <t>Short vegetation remaining short vegetation with fire</t>
  </si>
  <si>
    <t>Short vegetation remaining short vegetation without fire</t>
  </si>
  <si>
    <t>broad_class</t>
  </si>
  <si>
    <t>detailed_class</t>
  </si>
  <si>
    <t>tree_gain</t>
  </si>
  <si>
    <t>tree_loss</t>
  </si>
  <si>
    <t>crop_gain</t>
  </si>
  <si>
    <t>crop_loss</t>
  </si>
  <si>
    <t>tree_tree_undisturbed</t>
  </si>
  <si>
    <t>tree_tree_disturbed</t>
  </si>
  <si>
    <t>crop_crop_undisturbed</t>
  </si>
  <si>
    <t>short_veg_gain</t>
  </si>
  <si>
    <t>short_veg_loss</t>
  </si>
  <si>
    <t>short_veg_short_veg_undisturbed</t>
  </si>
  <si>
    <t>tree</t>
  </si>
  <si>
    <t>crop</t>
  </si>
  <si>
    <t>short_veg</t>
  </si>
  <si>
    <t>Not in decision tree</t>
  </si>
  <si>
    <t>no_flux</t>
  </si>
  <si>
    <t>Permanent loss of mangroves to water</t>
  </si>
  <si>
    <t>Permanent loss of mangroves to cropland</t>
  </si>
  <si>
    <t>Permanent loss of mangroves to settlement</t>
  </si>
  <si>
    <t>Permanent loss of mangroves to short vegetation</t>
  </si>
  <si>
    <t>Permanent loss of mangroves to tall vegetation</t>
  </si>
  <si>
    <t>Permanent loss of mangroves to anything else</t>
  </si>
  <si>
    <t>Temporary loss of mangroves</t>
  </si>
  <si>
    <t>Mangrove remaining mangrove + temp loss in interval</t>
  </si>
  <si>
    <t>Mangrove remaining mangrove, no loss in interval</t>
  </si>
  <si>
    <t>Before mangrove gain (mangrove mask)</t>
  </si>
  <si>
    <t>Non-mangrove remaining non-mangrove (mangrove mask)</t>
  </si>
  <si>
    <t>After permanent mangrove loss (mangrove mask)</t>
  </si>
  <si>
    <t>mangrove_other</t>
  </si>
  <si>
    <t>Gain of mangroves + temp loss in interval</t>
  </si>
  <si>
    <t>Gain of mangroves, no loss in 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</si>
</sst>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/>
    <xf numFmtId="0" fontId="2" fillId="0" borderId="0" xfId="0" applyFont="1" applyBorder="1" applyAlignment="1">
      <alignment vertical="center"/>
    </xf>
    <xf numFmtId="0" fontId="0" fillId="0" borderId="0" xfId="0" applyBorder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workbookViewId="0">
      <selection sqref="A1:A1048576"/>
    </sheetView>
  </sheetViews>
  <sheetFormatPr defaultRowHeight="14.5"/>
  <cols>
    <col min="1" max="1" width="11.26953125" bestFit="1" customWidth="1"/>
    <col min="2" max="2" width="21.54296875" bestFit="1" customWidth="1"/>
  </cols>
  <sheetData>
    <row r="1" spans="1:3">
      <c r="A1" s="1" t="s">
        <v>76</v>
      </c>
      <c r="B1" s="1" t="s">
        <v>77</v>
      </c>
      <c r="C1" s="1" t="s">
        <v>0</v>
      </c>
    </row>
    <row r="2" spans="1:3">
      <c r="A2">
        <v>1110000</v>
      </c>
      <c r="B2" t="str">
        <f>_xlfn.CONCAT("n",A2)</f>
        <v>n1110000</v>
      </c>
      <c r="C2" t="s">
        <v>1</v>
      </c>
    </row>
    <row r="3" spans="1:3">
      <c r="A3">
        <v>1120000</v>
      </c>
      <c r="B3" t="str">
        <f t="shared" ref="B3:B66" si="0">_xlfn.CONCAT("n",A3)</f>
        <v>n1120000</v>
      </c>
      <c r="C3" t="s">
        <v>2</v>
      </c>
    </row>
    <row r="4" spans="1:3">
      <c r="A4">
        <v>1210000</v>
      </c>
      <c r="B4" t="str">
        <f t="shared" si="0"/>
        <v>n1210000</v>
      </c>
      <c r="C4" t="s">
        <v>3</v>
      </c>
    </row>
    <row r="5" spans="1:3">
      <c r="A5">
        <v>1220000</v>
      </c>
      <c r="B5" t="str">
        <f t="shared" si="0"/>
        <v>n1220000</v>
      </c>
      <c r="C5" t="s">
        <v>4</v>
      </c>
    </row>
    <row r="6" spans="1:3">
      <c r="A6">
        <v>2000000</v>
      </c>
      <c r="B6" t="str">
        <f t="shared" si="0"/>
        <v>n2000000</v>
      </c>
      <c r="C6" t="s">
        <v>5</v>
      </c>
    </row>
    <row r="7" spans="1:3">
      <c r="A7">
        <v>2111000</v>
      </c>
      <c r="B7" t="str">
        <f t="shared" si="0"/>
        <v>n2111000</v>
      </c>
      <c r="C7" t="s">
        <v>6</v>
      </c>
    </row>
    <row r="8" spans="1:3">
      <c r="A8">
        <v>2112000</v>
      </c>
      <c r="B8" t="str">
        <f t="shared" si="0"/>
        <v>n2112000</v>
      </c>
      <c r="C8" t="s">
        <v>7</v>
      </c>
    </row>
    <row r="9" spans="1:3">
      <c r="A9">
        <v>2121100</v>
      </c>
      <c r="B9" t="str">
        <f t="shared" si="0"/>
        <v>n2121100</v>
      </c>
      <c r="C9" t="s">
        <v>8</v>
      </c>
    </row>
    <row r="10" spans="1:3">
      <c r="A10">
        <v>2121200</v>
      </c>
      <c r="B10" t="str">
        <f t="shared" si="0"/>
        <v>n2121200</v>
      </c>
      <c r="C10" t="s">
        <v>9</v>
      </c>
    </row>
    <row r="11" spans="1:3">
      <c r="A11">
        <v>2122100</v>
      </c>
      <c r="B11" t="str">
        <f t="shared" si="0"/>
        <v>n2122100</v>
      </c>
      <c r="C11" t="s">
        <v>10</v>
      </c>
    </row>
    <row r="12" spans="1:3">
      <c r="A12">
        <v>2122200</v>
      </c>
      <c r="B12" t="str">
        <f t="shared" si="0"/>
        <v>n2122200</v>
      </c>
      <c r="C12" t="s">
        <v>11</v>
      </c>
    </row>
    <row r="13" spans="1:3">
      <c r="A13">
        <v>2123100</v>
      </c>
      <c r="B13" t="str">
        <f t="shared" si="0"/>
        <v>n2123100</v>
      </c>
      <c r="C13" t="s">
        <v>12</v>
      </c>
    </row>
    <row r="14" spans="1:3">
      <c r="A14">
        <v>2123200</v>
      </c>
      <c r="B14" t="str">
        <f t="shared" si="0"/>
        <v>n2123200</v>
      </c>
      <c r="C14" t="s">
        <v>13</v>
      </c>
    </row>
    <row r="15" spans="1:3">
      <c r="A15">
        <v>2124100</v>
      </c>
      <c r="B15" t="str">
        <f t="shared" si="0"/>
        <v>n2124100</v>
      </c>
      <c r="C15" t="s">
        <v>14</v>
      </c>
    </row>
    <row r="16" spans="1:3">
      <c r="A16">
        <v>2124200</v>
      </c>
      <c r="B16" t="str">
        <f t="shared" si="0"/>
        <v>n2124200</v>
      </c>
      <c r="C16" t="s">
        <v>15</v>
      </c>
    </row>
    <row r="17" spans="1:3">
      <c r="A17">
        <v>2125100</v>
      </c>
      <c r="B17" t="str">
        <f t="shared" si="0"/>
        <v>n2125100</v>
      </c>
      <c r="C17" t="s">
        <v>16</v>
      </c>
    </row>
    <row r="18" spans="1:3">
      <c r="A18">
        <v>2125200</v>
      </c>
      <c r="B18" t="str">
        <f t="shared" si="0"/>
        <v>n2125200</v>
      </c>
      <c r="C18" t="s">
        <v>17</v>
      </c>
    </row>
    <row r="19" spans="1:3">
      <c r="A19">
        <v>2211100</v>
      </c>
      <c r="B19" t="str">
        <f t="shared" si="0"/>
        <v>n2211100</v>
      </c>
      <c r="C19" t="s">
        <v>18</v>
      </c>
    </row>
    <row r="20" spans="1:3">
      <c r="A20">
        <v>2211200</v>
      </c>
      <c r="B20" t="str">
        <f t="shared" si="0"/>
        <v>n2211200</v>
      </c>
      <c r="C20" t="s">
        <v>19</v>
      </c>
    </row>
    <row r="21" spans="1:3">
      <c r="A21">
        <v>2212110</v>
      </c>
      <c r="B21" t="str">
        <f t="shared" si="0"/>
        <v>n2212110</v>
      </c>
      <c r="C21" t="s">
        <v>20</v>
      </c>
    </row>
    <row r="22" spans="1:3">
      <c r="A22">
        <v>2212120</v>
      </c>
      <c r="B22" t="str">
        <f t="shared" si="0"/>
        <v>n2212120</v>
      </c>
      <c r="C22" t="s">
        <v>21</v>
      </c>
    </row>
    <row r="23" spans="1:3">
      <c r="A23">
        <v>2212210</v>
      </c>
      <c r="B23" t="str">
        <f t="shared" si="0"/>
        <v>n2212210</v>
      </c>
      <c r="C23" t="s">
        <v>22</v>
      </c>
    </row>
    <row r="24" spans="1:3">
      <c r="A24">
        <v>2212220</v>
      </c>
      <c r="B24" t="str">
        <f t="shared" si="0"/>
        <v>n2212220</v>
      </c>
      <c r="C24" t="s">
        <v>23</v>
      </c>
    </row>
    <row r="25" spans="1:3">
      <c r="A25">
        <v>2213110</v>
      </c>
      <c r="B25" t="str">
        <f t="shared" si="0"/>
        <v>n2213110</v>
      </c>
      <c r="C25" t="s">
        <v>24</v>
      </c>
    </row>
    <row r="26" spans="1:3">
      <c r="A26">
        <v>2213120</v>
      </c>
      <c r="B26" t="str">
        <f t="shared" si="0"/>
        <v>n2213120</v>
      </c>
      <c r="C26" t="s">
        <v>25</v>
      </c>
    </row>
    <row r="27" spans="1:3">
      <c r="A27">
        <v>2213210</v>
      </c>
      <c r="B27" t="str">
        <f t="shared" si="0"/>
        <v>n2213210</v>
      </c>
      <c r="C27" t="s">
        <v>26</v>
      </c>
    </row>
    <row r="28" spans="1:3">
      <c r="A28">
        <v>2213220</v>
      </c>
      <c r="B28" t="str">
        <f t="shared" si="0"/>
        <v>n2213220</v>
      </c>
      <c r="C28" t="s">
        <v>27</v>
      </c>
    </row>
    <row r="29" spans="1:3">
      <c r="A29">
        <v>2214100</v>
      </c>
      <c r="B29" t="str">
        <f t="shared" si="0"/>
        <v>n2214100</v>
      </c>
      <c r="C29" t="s">
        <v>28</v>
      </c>
    </row>
    <row r="30" spans="1:3">
      <c r="A30">
        <v>2214200</v>
      </c>
      <c r="B30" t="str">
        <f t="shared" si="0"/>
        <v>n2214200</v>
      </c>
      <c r="C30" t="s">
        <v>29</v>
      </c>
    </row>
    <row r="31" spans="1:3">
      <c r="A31">
        <v>2215100</v>
      </c>
      <c r="B31" t="str">
        <f t="shared" si="0"/>
        <v>n2215100</v>
      </c>
      <c r="C31" t="s">
        <v>30</v>
      </c>
    </row>
    <row r="32" spans="1:3">
      <c r="A32">
        <v>2215200</v>
      </c>
      <c r="B32" t="str">
        <f t="shared" si="0"/>
        <v>n2215200</v>
      </c>
      <c r="C32" t="s">
        <v>31</v>
      </c>
    </row>
    <row r="33" spans="1:3">
      <c r="A33">
        <v>2221100</v>
      </c>
      <c r="B33" t="str">
        <f t="shared" si="0"/>
        <v>n2221100</v>
      </c>
      <c r="C33" t="s">
        <v>32</v>
      </c>
    </row>
    <row r="34" spans="1:3">
      <c r="A34">
        <v>2221200</v>
      </c>
      <c r="B34" t="str">
        <f t="shared" si="0"/>
        <v>n2221200</v>
      </c>
      <c r="C34" t="s">
        <v>33</v>
      </c>
    </row>
    <row r="35" spans="1:3">
      <c r="A35">
        <v>2222100</v>
      </c>
      <c r="B35" t="str">
        <f t="shared" si="0"/>
        <v>n2222100</v>
      </c>
      <c r="C35" t="s">
        <v>34</v>
      </c>
    </row>
    <row r="36" spans="1:3">
      <c r="A36">
        <v>2222200</v>
      </c>
      <c r="B36" t="str">
        <f t="shared" si="0"/>
        <v>n2222200</v>
      </c>
      <c r="C36" t="s">
        <v>35</v>
      </c>
    </row>
    <row r="37" spans="1:3">
      <c r="A37">
        <v>2223100</v>
      </c>
      <c r="B37" t="str">
        <f t="shared" si="0"/>
        <v>n2223100</v>
      </c>
      <c r="C37" t="s">
        <v>36</v>
      </c>
    </row>
    <row r="38" spans="1:3">
      <c r="A38">
        <v>2223200</v>
      </c>
      <c r="B38" t="str">
        <f t="shared" si="0"/>
        <v>n2223200</v>
      </c>
      <c r="C38" t="s">
        <v>37</v>
      </c>
    </row>
    <row r="39" spans="1:3">
      <c r="A39">
        <v>3110000</v>
      </c>
      <c r="B39" t="str">
        <f t="shared" si="0"/>
        <v>n3110000</v>
      </c>
      <c r="C39" t="s">
        <v>38</v>
      </c>
    </row>
    <row r="40" spans="1:3">
      <c r="A40">
        <v>3120000</v>
      </c>
      <c r="B40" t="str">
        <f t="shared" si="0"/>
        <v>n3120000</v>
      </c>
      <c r="C40" t="s">
        <v>39</v>
      </c>
    </row>
    <row r="41" spans="1:3">
      <c r="A41">
        <v>3211111</v>
      </c>
      <c r="B41" t="str">
        <f t="shared" si="0"/>
        <v>n3211111</v>
      </c>
      <c r="C41" t="s">
        <v>40</v>
      </c>
    </row>
    <row r="42" spans="1:3">
      <c r="A42">
        <v>3211112</v>
      </c>
      <c r="B42" t="str">
        <f t="shared" si="0"/>
        <v>n3211112</v>
      </c>
      <c r="C42" t="s">
        <v>41</v>
      </c>
    </row>
    <row r="43" spans="1:3">
      <c r="A43">
        <v>3211121</v>
      </c>
      <c r="B43" t="str">
        <f t="shared" si="0"/>
        <v>n3211121</v>
      </c>
      <c r="C43" t="s">
        <v>42</v>
      </c>
    </row>
    <row r="44" spans="1:3">
      <c r="A44">
        <v>3211122</v>
      </c>
      <c r="B44" t="str">
        <f t="shared" si="0"/>
        <v>n3211122</v>
      </c>
      <c r="C44" t="s">
        <v>43</v>
      </c>
    </row>
    <row r="45" spans="1:3">
      <c r="A45">
        <v>3211211</v>
      </c>
      <c r="B45" t="str">
        <f t="shared" si="0"/>
        <v>n3211211</v>
      </c>
      <c r="C45" t="s">
        <v>44</v>
      </c>
    </row>
    <row r="46" spans="1:3">
      <c r="A46">
        <v>3211212</v>
      </c>
      <c r="B46" t="str">
        <f t="shared" si="0"/>
        <v>n3211212</v>
      </c>
      <c r="C46" t="s">
        <v>45</v>
      </c>
    </row>
    <row r="47" spans="1:3">
      <c r="A47">
        <v>3211221</v>
      </c>
      <c r="B47" t="str">
        <f t="shared" si="0"/>
        <v>n3211221</v>
      </c>
      <c r="C47" t="s">
        <v>46</v>
      </c>
    </row>
    <row r="48" spans="1:3">
      <c r="A48">
        <v>3211222</v>
      </c>
      <c r="B48" t="str">
        <f t="shared" si="0"/>
        <v>n3211222</v>
      </c>
      <c r="C48" t="s">
        <v>47</v>
      </c>
    </row>
    <row r="49" spans="1:3">
      <c r="A49">
        <v>3212111</v>
      </c>
      <c r="B49" t="str">
        <f t="shared" si="0"/>
        <v>n3212111</v>
      </c>
      <c r="C49" t="s">
        <v>48</v>
      </c>
    </row>
    <row r="50" spans="1:3">
      <c r="A50">
        <v>3212112</v>
      </c>
      <c r="B50" t="str">
        <f t="shared" si="0"/>
        <v>n3212112</v>
      </c>
      <c r="C50" t="s">
        <v>49</v>
      </c>
    </row>
    <row r="51" spans="1:3">
      <c r="A51">
        <v>3212121</v>
      </c>
      <c r="B51" t="str">
        <f t="shared" si="0"/>
        <v>n3212121</v>
      </c>
      <c r="C51" t="s">
        <v>50</v>
      </c>
    </row>
    <row r="52" spans="1:3">
      <c r="A52">
        <v>3212122</v>
      </c>
      <c r="B52" t="str">
        <f t="shared" si="0"/>
        <v>n3212122</v>
      </c>
      <c r="C52" t="s">
        <v>51</v>
      </c>
    </row>
    <row r="53" spans="1:3">
      <c r="A53">
        <v>3212211</v>
      </c>
      <c r="B53" t="str">
        <f t="shared" si="0"/>
        <v>n3212211</v>
      </c>
      <c r="C53" t="s">
        <v>52</v>
      </c>
    </row>
    <row r="54" spans="1:3">
      <c r="A54">
        <v>3212212</v>
      </c>
      <c r="B54" t="str">
        <f t="shared" si="0"/>
        <v>n3212212</v>
      </c>
      <c r="C54" t="s">
        <v>53</v>
      </c>
    </row>
    <row r="55" spans="1:3">
      <c r="A55">
        <v>3212221</v>
      </c>
      <c r="B55" t="str">
        <f t="shared" si="0"/>
        <v>n3212221</v>
      </c>
      <c r="C55" t="s">
        <v>54</v>
      </c>
    </row>
    <row r="56" spans="1:3">
      <c r="A56">
        <v>3212222</v>
      </c>
      <c r="B56" t="str">
        <f t="shared" si="0"/>
        <v>n3212222</v>
      </c>
      <c r="C56" t="s">
        <v>55</v>
      </c>
    </row>
    <row r="57" spans="1:3">
      <c r="A57">
        <v>3221110</v>
      </c>
      <c r="B57" t="str">
        <f t="shared" si="0"/>
        <v>n3221110</v>
      </c>
      <c r="C57" t="s">
        <v>56</v>
      </c>
    </row>
    <row r="58" spans="1:3">
      <c r="A58">
        <v>3221120</v>
      </c>
      <c r="B58" t="str">
        <f t="shared" si="0"/>
        <v>n3221120</v>
      </c>
      <c r="C58" t="s">
        <v>57</v>
      </c>
    </row>
    <row r="59" spans="1:3">
      <c r="A59">
        <v>3221210</v>
      </c>
      <c r="B59" t="str">
        <f t="shared" si="0"/>
        <v>n3221210</v>
      </c>
      <c r="C59" t="s">
        <v>58</v>
      </c>
    </row>
    <row r="60" spans="1:3">
      <c r="A60">
        <v>3221220</v>
      </c>
      <c r="B60" t="str">
        <f t="shared" si="0"/>
        <v>n3221220</v>
      </c>
      <c r="C60" t="s">
        <v>59</v>
      </c>
    </row>
    <row r="61" spans="1:3">
      <c r="A61">
        <v>3222111</v>
      </c>
      <c r="B61" t="str">
        <f t="shared" si="0"/>
        <v>n3222111</v>
      </c>
      <c r="C61" t="s">
        <v>60</v>
      </c>
    </row>
    <row r="62" spans="1:3">
      <c r="A62">
        <v>3222112</v>
      </c>
      <c r="B62" t="str">
        <f t="shared" si="0"/>
        <v>n3222112</v>
      </c>
      <c r="C62" t="s">
        <v>61</v>
      </c>
    </row>
    <row r="63" spans="1:3">
      <c r="A63">
        <v>3222121</v>
      </c>
      <c r="B63" t="str">
        <f t="shared" si="0"/>
        <v>n3222121</v>
      </c>
      <c r="C63" t="s">
        <v>62</v>
      </c>
    </row>
    <row r="64" spans="1:3">
      <c r="A64">
        <v>3222122</v>
      </c>
      <c r="B64" t="str">
        <f t="shared" si="0"/>
        <v>n3222122</v>
      </c>
      <c r="C64" t="s">
        <v>63</v>
      </c>
    </row>
    <row r="65" spans="1:3">
      <c r="A65">
        <v>3222210</v>
      </c>
      <c r="B65" t="str">
        <f t="shared" si="0"/>
        <v>n3222210</v>
      </c>
      <c r="C65" t="s">
        <v>64</v>
      </c>
    </row>
    <row r="66" spans="1:3">
      <c r="A66">
        <v>3222220</v>
      </c>
      <c r="B66" t="str">
        <f t="shared" si="0"/>
        <v>n3222220</v>
      </c>
      <c r="C66" t="s">
        <v>65</v>
      </c>
    </row>
    <row r="67" spans="1:3">
      <c r="A67">
        <v>4100000</v>
      </c>
      <c r="B67" t="str">
        <f t="shared" ref="B67:B76" si="1">_xlfn.CONCAT("n",A67)</f>
        <v>n4100000</v>
      </c>
      <c r="C67" t="s">
        <v>66</v>
      </c>
    </row>
    <row r="68" spans="1:3">
      <c r="A68">
        <v>4210000</v>
      </c>
      <c r="B68" t="str">
        <f t="shared" si="1"/>
        <v>n4210000</v>
      </c>
      <c r="C68" t="s">
        <v>67</v>
      </c>
    </row>
    <row r="69" spans="1:3">
      <c r="A69">
        <v>4220000</v>
      </c>
      <c r="B69" t="str">
        <f t="shared" si="1"/>
        <v>n4220000</v>
      </c>
      <c r="C69" t="s">
        <v>68</v>
      </c>
    </row>
    <row r="70" spans="1:3">
      <c r="A70">
        <v>4310000</v>
      </c>
      <c r="B70" t="str">
        <f t="shared" si="1"/>
        <v>n4310000</v>
      </c>
      <c r="C70" t="s">
        <v>69</v>
      </c>
    </row>
    <row r="71" spans="1:3">
      <c r="A71">
        <v>4320000</v>
      </c>
      <c r="B71" t="str">
        <f t="shared" si="1"/>
        <v>n4320000</v>
      </c>
      <c r="C71" t="s">
        <v>70</v>
      </c>
    </row>
    <row r="72" spans="1:3">
      <c r="A72">
        <v>5100000</v>
      </c>
      <c r="B72" t="str">
        <f t="shared" si="1"/>
        <v>n5100000</v>
      </c>
      <c r="C72" t="s">
        <v>71</v>
      </c>
    </row>
    <row r="73" spans="1:3">
      <c r="A73">
        <v>5210000</v>
      </c>
      <c r="B73" t="str">
        <f t="shared" si="1"/>
        <v>n5210000</v>
      </c>
      <c r="C73" t="s">
        <v>72</v>
      </c>
    </row>
    <row r="74" spans="1:3">
      <c r="A74">
        <v>5220000</v>
      </c>
      <c r="B74" t="str">
        <f t="shared" si="1"/>
        <v>n5220000</v>
      </c>
      <c r="C74" t="s">
        <v>73</v>
      </c>
    </row>
    <row r="75" spans="1:3">
      <c r="A75">
        <v>5310000</v>
      </c>
      <c r="B75" t="str">
        <f t="shared" si="1"/>
        <v>n5310000</v>
      </c>
      <c r="C75" t="s">
        <v>74</v>
      </c>
    </row>
    <row r="76" spans="1:3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0781-4690-4C4E-8E78-7EC47B65C964}">
  <dimension ref="A1:F82"/>
  <sheetViews>
    <sheetView topLeftCell="A49" workbookViewId="0">
      <selection activeCell="D25" sqref="D2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6" si="0">A3&amp;REPT("0",8-LEN(A3))</f>
        <v>21200000</v>
      </c>
      <c r="C3" t="str">
        <f t="shared" ref="C3:C66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si="0"/>
        <v>42221212</v>
      </c>
      <c r="C63" t="str">
        <f t="shared" si="1"/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0"/>
        <v>42221229</v>
      </c>
      <c r="C64" t="str">
        <f t="shared" si="1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0"/>
        <v>42221222</v>
      </c>
      <c r="C65" t="str">
        <f t="shared" si="1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0"/>
        <v>42222900</v>
      </c>
      <c r="C66" t="str">
        <f t="shared" si="1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ref="B67:B82" si="2">A67&amp;REPT("0",8-LEN(A67))</f>
        <v>42222200</v>
      </c>
      <c r="C67" s="4" t="str">
        <f t="shared" ref="C67:C82" si="3">_xlfn.CONCAT("n",B67)</f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7656-B308-4E3A-9467-98AD8F1F4D68}">
  <dimension ref="A1:F82"/>
  <sheetViews>
    <sheetView workbookViewId="0">
      <selection activeCell="E2" sqref="E2:F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2" si="0">A3&amp;REPT("0",8-LEN(A3))</f>
        <v>21200000</v>
      </c>
      <c r="C3" t="str">
        <f t="shared" ref="C3:C62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ref="B63:B82" si="2">A63&amp;REPT("0",8-LEN(A63))</f>
        <v>42221212</v>
      </c>
      <c r="C63" t="str">
        <f t="shared" ref="C63:C82" si="3">_xlfn.CONCAT("n",B63)</f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2"/>
        <v>42221229</v>
      </c>
      <c r="C64" t="str">
        <f t="shared" si="3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2"/>
        <v>42221222</v>
      </c>
      <c r="C65" t="str">
        <f t="shared" si="3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2"/>
        <v>42222900</v>
      </c>
      <c r="C66" t="str">
        <f t="shared" si="3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si="2"/>
        <v>42222200</v>
      </c>
      <c r="C67" s="4" t="str">
        <f t="shared" si="3"/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BB84B-4BF3-4978-BFCA-0C4F8A30C442}">
  <dimension ref="A1:F96"/>
  <sheetViews>
    <sheetView tabSelected="1" workbookViewId="0">
      <selection activeCell="D14" sqref="D14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5">
        <v>111</v>
      </c>
      <c r="B2" s="6" t="str">
        <f t="shared" ref="B2:B3" si="0">A2&amp;REPT("0",8-LEN(A2))</f>
        <v>11100000</v>
      </c>
      <c r="C2" s="6" t="str">
        <f t="shared" ref="C2:C3" si="1">_xlfn.CONCAT("n",B2)</f>
        <v>n11100000</v>
      </c>
      <c r="D2" s="2" t="s">
        <v>188</v>
      </c>
      <c r="E2" s="6" t="s">
        <v>170</v>
      </c>
      <c r="F2" s="6" t="s">
        <v>161</v>
      </c>
    </row>
    <row r="3" spans="1:6">
      <c r="A3" s="5">
        <v>112</v>
      </c>
      <c r="B3" s="6" t="str">
        <f t="shared" si="0"/>
        <v>11200000</v>
      </c>
      <c r="C3" s="6" t="str">
        <f t="shared" si="1"/>
        <v>n11200000</v>
      </c>
      <c r="D3" s="2" t="s">
        <v>189</v>
      </c>
      <c r="E3" s="6" t="s">
        <v>170</v>
      </c>
      <c r="F3" s="7" t="s">
        <v>160</v>
      </c>
    </row>
    <row r="4" spans="1:6" s="6" customFormat="1">
      <c r="A4" s="5">
        <v>122</v>
      </c>
      <c r="B4" s="6" t="str">
        <f>A4&amp;REPT("0",8-LEN(A4))</f>
        <v>12200000</v>
      </c>
      <c r="C4" s="6" t="str">
        <f>_xlfn.CONCAT("n",B4)</f>
        <v>n12200000</v>
      </c>
      <c r="D4" s="2" t="s">
        <v>175</v>
      </c>
      <c r="E4" s="6" t="s">
        <v>170</v>
      </c>
      <c r="F4" s="6" t="s">
        <v>161</v>
      </c>
    </row>
    <row r="5" spans="1:6" s="6" customFormat="1">
      <c r="A5" s="5">
        <v>123</v>
      </c>
      <c r="B5" s="6" t="str">
        <f t="shared" ref="B5:B68" si="2">A5&amp;REPT("0",8-LEN(A5))</f>
        <v>12300000</v>
      </c>
      <c r="C5" s="6" t="str">
        <f t="shared" ref="C5:C68" si="3">_xlfn.CONCAT("n",B5)</f>
        <v>n12300000</v>
      </c>
      <c r="D5" s="2" t="s">
        <v>176</v>
      </c>
      <c r="E5" s="6" t="s">
        <v>170</v>
      </c>
      <c r="F5" s="6" t="s">
        <v>161</v>
      </c>
    </row>
    <row r="6" spans="1:6" s="6" customFormat="1">
      <c r="A6" s="5">
        <v>124</v>
      </c>
      <c r="B6" s="6" t="str">
        <f t="shared" si="2"/>
        <v>12400000</v>
      </c>
      <c r="C6" s="6" t="str">
        <f t="shared" si="3"/>
        <v>n12400000</v>
      </c>
      <c r="D6" s="2" t="s">
        <v>177</v>
      </c>
      <c r="E6" s="6" t="s">
        <v>170</v>
      </c>
      <c r="F6" s="6" t="s">
        <v>161</v>
      </c>
    </row>
    <row r="7" spans="1:6" s="6" customFormat="1">
      <c r="A7" s="5">
        <v>125</v>
      </c>
      <c r="B7" s="6" t="str">
        <f t="shared" si="2"/>
        <v>12500000</v>
      </c>
      <c r="C7" s="6" t="str">
        <f t="shared" si="3"/>
        <v>n12500000</v>
      </c>
      <c r="D7" s="2" t="s">
        <v>178</v>
      </c>
      <c r="E7" s="6" t="s">
        <v>170</v>
      </c>
      <c r="F7" s="6" t="s">
        <v>161</v>
      </c>
    </row>
    <row r="8" spans="1:6" s="6" customFormat="1">
      <c r="A8" s="5">
        <v>126</v>
      </c>
      <c r="B8" s="6" t="str">
        <f t="shared" si="2"/>
        <v>12600000</v>
      </c>
      <c r="C8" s="6" t="str">
        <f t="shared" si="3"/>
        <v>n12600000</v>
      </c>
      <c r="D8" s="2" t="s">
        <v>179</v>
      </c>
      <c r="E8" s="6" t="s">
        <v>170</v>
      </c>
      <c r="F8" s="6" t="s">
        <v>161</v>
      </c>
    </row>
    <row r="9" spans="1:6" s="6" customFormat="1">
      <c r="A9" s="5">
        <v>127</v>
      </c>
      <c r="B9" s="6" t="str">
        <f t="shared" si="2"/>
        <v>12700000</v>
      </c>
      <c r="C9" s="6" t="str">
        <f t="shared" si="3"/>
        <v>n12700000</v>
      </c>
      <c r="D9" s="2" t="s">
        <v>180</v>
      </c>
      <c r="E9" s="6" t="s">
        <v>170</v>
      </c>
      <c r="F9" s="6" t="s">
        <v>161</v>
      </c>
    </row>
    <row r="10" spans="1:6" s="6" customFormat="1">
      <c r="A10" s="5">
        <v>121</v>
      </c>
      <c r="B10" s="6" t="str">
        <f t="shared" si="2"/>
        <v>12100000</v>
      </c>
      <c r="C10" s="6" t="str">
        <f t="shared" si="3"/>
        <v>n12100000</v>
      </c>
      <c r="D10" s="2" t="s">
        <v>181</v>
      </c>
      <c r="E10" s="6" t="s">
        <v>170</v>
      </c>
      <c r="F10" s="6" t="s">
        <v>161</v>
      </c>
    </row>
    <row r="11" spans="1:6" s="6" customFormat="1">
      <c r="A11" s="5">
        <v>131</v>
      </c>
      <c r="B11" s="6" t="str">
        <f t="shared" si="2"/>
        <v>13100000</v>
      </c>
      <c r="C11" s="6" t="str">
        <f t="shared" si="3"/>
        <v>n13100000</v>
      </c>
      <c r="D11" s="2" t="s">
        <v>182</v>
      </c>
      <c r="E11" s="6" t="s">
        <v>170</v>
      </c>
      <c r="F11" s="6" t="s">
        <v>161</v>
      </c>
    </row>
    <row r="12" spans="1:6" s="6" customFormat="1">
      <c r="A12" s="5">
        <v>132</v>
      </c>
      <c r="B12" s="6" t="str">
        <f t="shared" si="2"/>
        <v>13200000</v>
      </c>
      <c r="C12" s="6" t="str">
        <f t="shared" si="3"/>
        <v>n13200000</v>
      </c>
      <c r="D12" s="2" t="s">
        <v>183</v>
      </c>
      <c r="E12" s="6" t="s">
        <v>170</v>
      </c>
      <c r="F12" t="s">
        <v>164</v>
      </c>
    </row>
    <row r="13" spans="1:6" s="6" customFormat="1">
      <c r="A13" s="5">
        <v>100</v>
      </c>
      <c r="B13" s="6" t="str">
        <f t="shared" si="2"/>
        <v>10000000</v>
      </c>
      <c r="C13" s="6" t="str">
        <f t="shared" si="3"/>
        <v>n10000000</v>
      </c>
      <c r="D13" s="2" t="s">
        <v>184</v>
      </c>
      <c r="E13" s="6" t="s">
        <v>170</v>
      </c>
      <c r="F13" s="6" t="s">
        <v>187</v>
      </c>
    </row>
    <row r="14" spans="1:6" s="6" customFormat="1">
      <c r="A14" s="5">
        <v>101</v>
      </c>
      <c r="B14" s="6" t="str">
        <f t="shared" si="2"/>
        <v>10100000</v>
      </c>
      <c r="C14" s="6" t="str">
        <f t="shared" si="3"/>
        <v>n10100000</v>
      </c>
      <c r="D14" s="2" t="s">
        <v>185</v>
      </c>
      <c r="E14" s="6" t="s">
        <v>170</v>
      </c>
      <c r="F14" s="6" t="s">
        <v>187</v>
      </c>
    </row>
    <row r="15" spans="1:6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</row>
    <row r="16" spans="1:6" s="6" customFormat="1">
      <c r="A16" s="5">
        <v>211</v>
      </c>
      <c r="B16" s="6" t="str">
        <f t="shared" si="2"/>
        <v>21100000</v>
      </c>
      <c r="C16" s="6" t="str">
        <f t="shared" si="3"/>
        <v>n21100000</v>
      </c>
      <c r="D16" s="2" t="s">
        <v>79</v>
      </c>
      <c r="E16" t="s">
        <v>170</v>
      </c>
      <c r="F16" t="s">
        <v>160</v>
      </c>
    </row>
    <row r="17" spans="1:6" s="6" customFormat="1">
      <c r="A17" s="5">
        <v>212</v>
      </c>
      <c r="B17" s="6" t="str">
        <f t="shared" si="2"/>
        <v>21200000</v>
      </c>
      <c r="C17" s="6" t="str">
        <f t="shared" si="3"/>
        <v>n21200000</v>
      </c>
      <c r="D17" s="2" t="s">
        <v>80</v>
      </c>
      <c r="E17" t="s">
        <v>170</v>
      </c>
      <c r="F17" t="s">
        <v>160</v>
      </c>
    </row>
    <row r="18" spans="1:6" s="6" customFormat="1">
      <c r="A18" s="5">
        <v>221</v>
      </c>
      <c r="B18" s="6" t="str">
        <f t="shared" si="2"/>
        <v>22100000</v>
      </c>
      <c r="C18" s="6" t="str">
        <f t="shared" si="3"/>
        <v>n22100000</v>
      </c>
      <c r="D18" s="2" t="s">
        <v>81</v>
      </c>
      <c r="E18" t="s">
        <v>170</v>
      </c>
      <c r="F18" t="s">
        <v>160</v>
      </c>
    </row>
    <row r="19" spans="1:6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</row>
    <row r="20" spans="1:6" s="6" customFormat="1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</row>
    <row r="21" spans="1:6" s="6" customFormat="1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</row>
    <row r="22" spans="1:6" s="6" customFormat="1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</row>
    <row r="23" spans="1:6" s="6" customFormat="1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</row>
    <row r="24" spans="1:6" s="6" customFormat="1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</row>
    <row r="25" spans="1:6" s="6" customFormat="1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</row>
    <row r="26" spans="1:6" s="6" customFormat="1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</row>
    <row r="27" spans="1:6" s="6" customFormat="1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</row>
    <row r="28" spans="1:6" s="6" customFormat="1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</row>
    <row r="29" spans="1:6" s="6" customFormat="1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</row>
    <row r="30" spans="1:6" s="6" customFormat="1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</row>
    <row r="31" spans="1:6" s="6" customFormat="1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</row>
    <row r="32" spans="1:6" s="6" customFormat="1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</row>
    <row r="33" spans="1:6" s="6" customFormat="1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</row>
    <row r="34" spans="1:6" s="6" customFormat="1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</row>
    <row r="35" spans="1:6" s="6" customFormat="1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</row>
    <row r="36" spans="1:6" s="6" customFormat="1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</row>
    <row r="37" spans="1:6" s="6" customFormat="1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</row>
    <row r="38" spans="1:6" s="6" customFormat="1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</row>
    <row r="39" spans="1:6" s="6" customFormat="1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</row>
    <row r="40" spans="1:6" s="6" customFormat="1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</row>
    <row r="41" spans="1:6" s="6" customFormat="1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</row>
    <row r="42" spans="1:6" s="6" customFormat="1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</row>
    <row r="43" spans="1:6" s="6" customFormat="1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</row>
    <row r="44" spans="1:6" s="6" customFormat="1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</row>
    <row r="45" spans="1:6" s="6" customFormat="1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</row>
    <row r="46" spans="1:6" s="6" customFormat="1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</row>
    <row r="47" spans="1:6" s="6" customFormat="1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</row>
    <row r="48" spans="1:6" s="6" customFormat="1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</row>
    <row r="49" spans="1:6" s="6" customFormat="1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</row>
    <row r="50" spans="1:6" s="6" customFormat="1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</row>
    <row r="51" spans="1:6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</row>
    <row r="52" spans="1:6" s="6" customFormat="1">
      <c r="A52" s="5">
        <v>419</v>
      </c>
      <c r="B52" s="6" t="str">
        <f t="shared" si="2"/>
        <v>41900000</v>
      </c>
      <c r="C52" s="6" t="str">
        <f t="shared" si="3"/>
        <v>n41900000</v>
      </c>
      <c r="D52" s="5" t="s">
        <v>115</v>
      </c>
      <c r="E52" s="6" t="s">
        <v>170</v>
      </c>
      <c r="F52" s="6" t="s">
        <v>161</v>
      </c>
    </row>
    <row r="53" spans="1:6" s="6" customFormat="1">
      <c r="A53" s="5">
        <v>412</v>
      </c>
      <c r="B53" s="6" t="str">
        <f t="shared" si="2"/>
        <v>41200000</v>
      </c>
      <c r="C53" s="6" t="str">
        <f t="shared" si="3"/>
        <v>n41200000</v>
      </c>
      <c r="D53" s="5" t="s">
        <v>116</v>
      </c>
      <c r="E53" s="6" t="s">
        <v>170</v>
      </c>
      <c r="F53" s="6" t="s">
        <v>161</v>
      </c>
    </row>
    <row r="54" spans="1:6" s="6" customFormat="1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165</v>
      </c>
    </row>
    <row r="55" spans="1:6" s="6" customFormat="1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165</v>
      </c>
    </row>
    <row r="56" spans="1:6" s="6" customFormat="1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165</v>
      </c>
    </row>
    <row r="57" spans="1:6" s="6" customFormat="1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165</v>
      </c>
    </row>
    <row r="58" spans="1:6" s="6" customFormat="1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165</v>
      </c>
    </row>
    <row r="59" spans="1:6" s="6" customFormat="1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165</v>
      </c>
    </row>
    <row r="60" spans="1:6" s="6" customFormat="1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165</v>
      </c>
    </row>
    <row r="61" spans="1:6" s="6" customFormat="1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165</v>
      </c>
    </row>
    <row r="62" spans="1:6" s="6" customFormat="1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165</v>
      </c>
    </row>
    <row r="63" spans="1:6" s="6" customFormat="1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165</v>
      </c>
    </row>
    <row r="64" spans="1:6" s="6" customFormat="1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165</v>
      </c>
    </row>
    <row r="65" spans="1:6" s="6" customFormat="1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165</v>
      </c>
    </row>
    <row r="66" spans="1:6" s="6" customFormat="1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165</v>
      </c>
    </row>
    <row r="67" spans="1:6" s="6" customFormat="1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165</v>
      </c>
    </row>
    <row r="68" spans="1:6" s="6" customFormat="1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165</v>
      </c>
    </row>
    <row r="69" spans="1:6" s="6" customFormat="1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165</v>
      </c>
    </row>
    <row r="70" spans="1:6" s="6" customFormat="1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164</v>
      </c>
    </row>
    <row r="71" spans="1:6" s="6" customFormat="1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</row>
    <row r="72" spans="1:6" s="6" customFormat="1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164</v>
      </c>
    </row>
    <row r="73" spans="1:6" s="6" customFormat="1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</row>
    <row r="74" spans="1:6" s="6" customFormat="1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164</v>
      </c>
    </row>
    <row r="75" spans="1:6" s="6" customFormat="1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</row>
    <row r="76" spans="1:6" s="6" customFormat="1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164</v>
      </c>
    </row>
    <row r="77" spans="1:6" s="6" customFormat="1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</row>
    <row r="78" spans="1:6" s="6" customFormat="1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164</v>
      </c>
    </row>
    <row r="79" spans="1:6" s="6" customFormat="1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</row>
    <row r="80" spans="1:6" s="6" customFormat="1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164</v>
      </c>
    </row>
    <row r="81" spans="1:6" s="6" customFormat="1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</row>
    <row r="82" spans="1:6" s="6" customFormat="1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</row>
    <row r="83" spans="1:6" s="6" customFormat="1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</row>
    <row r="84" spans="1:6" s="6" customFormat="1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</row>
    <row r="85" spans="1:6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</row>
    <row r="86" spans="1:6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</row>
    <row r="87" spans="1:6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</row>
    <row r="88" spans="1:6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</row>
    <row r="89" spans="1:6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</row>
    <row r="90" spans="1:6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</row>
    <row r="91" spans="1:6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</row>
    <row r="92" spans="1:6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</row>
    <row r="93" spans="1:6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</row>
    <row r="94" spans="1:6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</row>
    <row r="95" spans="1:6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</row>
    <row r="96" spans="1:6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v030_20250430</vt:lpstr>
      <vt:lpstr>v040_20250713</vt:lpstr>
      <vt:lpstr>v042_20250805</vt:lpstr>
      <vt:lpstr>v102_20251027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2025-11-13T21:29:32Z</dcterms:modified>
</cp:coreProperties>
</file>