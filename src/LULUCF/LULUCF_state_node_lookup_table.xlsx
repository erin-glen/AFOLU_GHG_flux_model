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F4685BF5-E675-465A-95B2-54E3D07852D2}" xr6:coauthVersionLast="47" xr6:coauthVersionMax="47" xr10:uidLastSave="{00000000-0000-0000-0000-000000000000}"/>
  <bookViews>
    <workbookView xWindow="-225" yWindow="-16320" windowWidth="29040" windowHeight="15720" activeTab="3" xr2:uid="{00000000-000D-0000-FFFF-FFFF00000000}"/>
  </bookViews>
  <sheets>
    <sheet name="v030_20250430" sheetId="1" r:id="rId1"/>
    <sheet name="v040_20250713" sheetId="3" r:id="rId2"/>
    <sheet name="v042_20250805" sheetId="2" r:id="rId3"/>
    <sheet name="v102_20251027" sheetId="4" r:id="rId4"/>
  </sheets>
  <definedNames>
    <definedName name="_xlnm._FilterDatabase" localSheetId="1" hidden="1">v040_20250713!$A$1:$F$1</definedName>
    <definedName name="_xlnm._FilterDatabase" localSheetId="2" hidden="1">v042_20250805!$A$1:$F$1</definedName>
    <definedName name="_xlnm._FilterDatabase" localSheetId="3" hidden="1">v102_20251027!$A$1:$G$1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 s="1"/>
  <c r="B3" i="4"/>
  <c r="C3" i="4" s="1"/>
  <c r="B96" i="4"/>
  <c r="C96" i="4" s="1"/>
  <c r="B95" i="4"/>
  <c r="C95" i="4" s="1"/>
  <c r="B94" i="4"/>
  <c r="C94" i="4" s="1"/>
  <c r="B93" i="4"/>
  <c r="C93" i="4" s="1"/>
  <c r="B92" i="4"/>
  <c r="C92" i="4" s="1"/>
  <c r="B91" i="4"/>
  <c r="C91" i="4" s="1"/>
  <c r="B90" i="4"/>
  <c r="C90" i="4" s="1"/>
  <c r="B89" i="4"/>
  <c r="C89" i="4" s="1"/>
  <c r="B88" i="4"/>
  <c r="C88" i="4" s="1"/>
  <c r="B87" i="4"/>
  <c r="C87" i="4" s="1"/>
  <c r="B86" i="4"/>
  <c r="C86" i="4" s="1"/>
  <c r="B85" i="4"/>
  <c r="C85" i="4" s="1"/>
  <c r="B84" i="4"/>
  <c r="C84" i="4" s="1"/>
  <c r="B83" i="4"/>
  <c r="C83" i="4" s="1"/>
  <c r="B82" i="4"/>
  <c r="C82" i="4" s="1"/>
  <c r="B81" i="4"/>
  <c r="C81" i="4" s="1"/>
  <c r="B80" i="4"/>
  <c r="C80" i="4" s="1"/>
  <c r="B79" i="4"/>
  <c r="C79" i="4" s="1"/>
  <c r="B78" i="4"/>
  <c r="C78" i="4" s="1"/>
  <c r="B77" i="4"/>
  <c r="C77" i="4" s="1"/>
  <c r="B76" i="4"/>
  <c r="C76" i="4" s="1"/>
  <c r="B75" i="4"/>
  <c r="C75" i="4" s="1"/>
  <c r="B74" i="4"/>
  <c r="C74" i="4" s="1"/>
  <c r="B73" i="4"/>
  <c r="C73" i="4" s="1"/>
  <c r="B72" i="4"/>
  <c r="C72" i="4" s="1"/>
  <c r="B71" i="4"/>
  <c r="C71" i="4" s="1"/>
  <c r="B70" i="4"/>
  <c r="C70" i="4" s="1"/>
  <c r="B69" i="4"/>
  <c r="C69" i="4" s="1"/>
  <c r="B68" i="4"/>
  <c r="C68" i="4" s="1"/>
  <c r="B67" i="4"/>
  <c r="C67" i="4" s="1"/>
  <c r="B66" i="4"/>
  <c r="C66" i="4" s="1"/>
  <c r="B65" i="4"/>
  <c r="C65" i="4" s="1"/>
  <c r="B64" i="4"/>
  <c r="C64" i="4" s="1"/>
  <c r="B63" i="4"/>
  <c r="C63" i="4" s="1"/>
  <c r="B62" i="4"/>
  <c r="C62" i="4" s="1"/>
  <c r="B61" i="4"/>
  <c r="C61" i="4" s="1"/>
  <c r="B60" i="4"/>
  <c r="C60" i="4" s="1"/>
  <c r="B59" i="4"/>
  <c r="C59" i="4" s="1"/>
  <c r="B58" i="4"/>
  <c r="C58" i="4" s="1"/>
  <c r="B57" i="4"/>
  <c r="C57" i="4" s="1"/>
  <c r="B56" i="4"/>
  <c r="C56" i="4" s="1"/>
  <c r="B55" i="4"/>
  <c r="C55" i="4" s="1"/>
  <c r="B54" i="4"/>
  <c r="C54" i="4" s="1"/>
  <c r="B53" i="4"/>
  <c r="C53" i="4" s="1"/>
  <c r="B52" i="4"/>
  <c r="C52" i="4" s="1"/>
  <c r="B51" i="4"/>
  <c r="C51" i="4" s="1"/>
  <c r="B50" i="4"/>
  <c r="C50" i="4" s="1"/>
  <c r="B49" i="4"/>
  <c r="C49" i="4" s="1"/>
  <c r="B48" i="4"/>
  <c r="C48" i="4" s="1"/>
  <c r="B47" i="4"/>
  <c r="C47" i="4" s="1"/>
  <c r="B46" i="4"/>
  <c r="C46" i="4" s="1"/>
  <c r="B45" i="4"/>
  <c r="C45" i="4" s="1"/>
  <c r="B44" i="4"/>
  <c r="C44" i="4" s="1"/>
  <c r="B43" i="4"/>
  <c r="C43" i="4" s="1"/>
  <c r="B42" i="4"/>
  <c r="C42" i="4" s="1"/>
  <c r="B41" i="4"/>
  <c r="C41" i="4" s="1"/>
  <c r="B40" i="4"/>
  <c r="C40" i="4" s="1"/>
  <c r="B39" i="4"/>
  <c r="C39" i="4" s="1"/>
  <c r="B38" i="4"/>
  <c r="C38" i="4" s="1"/>
  <c r="B37" i="4"/>
  <c r="C37" i="4" s="1"/>
  <c r="B36" i="4"/>
  <c r="C36" i="4" s="1"/>
  <c r="B35" i="4"/>
  <c r="C35" i="4" s="1"/>
  <c r="B34" i="4"/>
  <c r="C34" i="4" s="1"/>
  <c r="B33" i="4"/>
  <c r="C33" i="4" s="1"/>
  <c r="B32" i="4"/>
  <c r="C32" i="4" s="1"/>
  <c r="B31" i="4"/>
  <c r="C31" i="4" s="1"/>
  <c r="B30" i="4"/>
  <c r="C30" i="4" s="1"/>
  <c r="B29" i="4"/>
  <c r="C29" i="4" s="1"/>
  <c r="B28" i="4"/>
  <c r="C28" i="4" s="1"/>
  <c r="B27" i="4"/>
  <c r="C27" i="4" s="1"/>
  <c r="B26" i="4"/>
  <c r="C26" i="4" s="1"/>
  <c r="B25" i="4"/>
  <c r="C25" i="4" s="1"/>
  <c r="B24" i="4"/>
  <c r="C24" i="4" s="1"/>
  <c r="B23" i="4"/>
  <c r="C23" i="4" s="1"/>
  <c r="B22" i="4"/>
  <c r="C22" i="4" s="1"/>
  <c r="B21" i="4"/>
  <c r="C21" i="4" s="1"/>
  <c r="B20" i="4"/>
  <c r="C20" i="4" s="1"/>
  <c r="B19" i="4"/>
  <c r="C19" i="4" s="1"/>
  <c r="B18" i="4"/>
  <c r="C18" i="4" s="1"/>
  <c r="B17" i="4"/>
  <c r="C17" i="4" s="1"/>
  <c r="B16" i="4"/>
  <c r="C16" i="4" s="1"/>
  <c r="B15" i="4"/>
  <c r="C15" i="4" s="1"/>
  <c r="B14" i="4"/>
  <c r="C14" i="4" s="1"/>
  <c r="B13" i="4"/>
  <c r="C13" i="4" s="1"/>
  <c r="B12" i="4"/>
  <c r="C12" i="4" s="1"/>
  <c r="B11" i="4"/>
  <c r="C11" i="4" s="1"/>
  <c r="B10" i="4"/>
  <c r="C10" i="4" s="1"/>
  <c r="B9" i="4"/>
  <c r="C9" i="4" s="1"/>
  <c r="B8" i="4"/>
  <c r="C8" i="4" s="1"/>
  <c r="B7" i="4"/>
  <c r="C7" i="4" s="1"/>
  <c r="B6" i="4"/>
  <c r="C6" i="4" s="1"/>
  <c r="B5" i="4"/>
  <c r="C5" i="4" s="1"/>
  <c r="B4" i="4"/>
  <c r="C4" i="4" s="1"/>
  <c r="B2" i="3"/>
  <c r="C2" i="3"/>
  <c r="B3" i="3"/>
  <c r="C3" i="3"/>
  <c r="B4" i="3"/>
  <c r="C4" i="3" s="1"/>
  <c r="B5" i="3"/>
  <c r="C5" i="3"/>
  <c r="B6" i="3"/>
  <c r="C6" i="3"/>
  <c r="B7" i="3"/>
  <c r="C7" i="3" s="1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C14" i="3"/>
  <c r="B15" i="3"/>
  <c r="C15" i="3"/>
  <c r="B16" i="3"/>
  <c r="C16" i="3"/>
  <c r="B17" i="3"/>
  <c r="C17" i="3"/>
  <c r="B18" i="3"/>
  <c r="C18" i="3"/>
  <c r="B19" i="3"/>
  <c r="C19" i="3"/>
  <c r="B20" i="3"/>
  <c r="C20" i="3"/>
  <c r="B21" i="3"/>
  <c r="C21" i="3"/>
  <c r="B22" i="3"/>
  <c r="C22" i="3" s="1"/>
  <c r="B23" i="3"/>
  <c r="C23" i="3"/>
  <c r="B24" i="3"/>
  <c r="C24" i="3"/>
  <c r="B25" i="3"/>
  <c r="C25" i="3"/>
  <c r="B26" i="3"/>
  <c r="C26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 s="1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2" i="2" l="1"/>
  <c r="C82" i="2"/>
  <c r="B78" i="2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<sst xmlns="http://schemas.openxmlformats.org/spreadsheetml/2006/main" count="963" uniqueCount="202">
  <si>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</si>
  <si>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</si>
  <si>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</si>
  <si>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</si>
  <si>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</si>
  <si>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</si>
  <si>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</si>
  <si>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</si>
  <si>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</si>
  <si>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</si>
  <si>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</si>
  <si>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</si>
  <si>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</si>
  <si>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</si>
  <si>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</si>
  <si>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</si>
  <si>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</si>
  <si>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</si>
  <si>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</si>
  <si>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</si>
  <si>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</si>
  <si>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</si>
  <si>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</si>
  <si>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</si>
  <si>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</si>
  <si>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</si>
  <si>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</si>
  <si>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</si>
  <si>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</si>
  <si>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</si>
  <si>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</si>
  <si>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</si>
  <si>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</si>
  <si>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</si>
  <si>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</si>
  <si>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</si>
  <si>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</si>
  <si>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</si>
  <si>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</si>
  <si>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</si>
  <si>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</si>
  <si>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</si>
  <si>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</si>
  <si>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</si>
  <si>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</si>
  <si>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</si>
  <si>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</si>
  <si>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</si>
  <si>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</si>
  <si>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</si>
  <si>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</si>
  <si>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</si>
  <si>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</si>
  <si>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</si>
  <si>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</si>
  <si>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</si>
  <si>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</si>
  <si>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</si>
  <si>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</si>
  <si>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</si>
  <si>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</si>
  <si>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</si>
  <si>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</si>
  <si>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</si>
  <si>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</si>
  <si>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</si>
  <si>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</si>
  <si>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</si>
  <si>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</si>
  <si>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</si>
  <si>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</si>
  <si>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</si>
  <si>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</si>
  <si>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</si>
  <si>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</si>
  <si>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</si>
  <si>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</si>
  <si>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</si>
  <si>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</si>
  <si>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</si>
  <si>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</si>
  <si>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</si>
  <si>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</si>
  <si>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</si>
  <si>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</si>
  <si>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</si>
  <si>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</si>
  <si>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</si>
  <si>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</si>
  <si>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</si>
  <si>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</si>
  <si>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</si>
  <si>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</si>
  <si>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</si>
  <si>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</si>
  <si>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</si>
  <si>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</si>
  <si>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</si>
  <si>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</si>
  <si>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</si>
  <si>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</si>
  <si>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</si>
  <si>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</si>
  <si>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</si>
  <si>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</si>
  <si>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</si>
  <si>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</si>
  <si>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</si>
  <si>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</si>
  <si>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</si>
  <si>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</si>
  <si>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</si>
  <si>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</si>
  <si>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</si>
  <si>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</si>
  <si>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</si>
  <si>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</si>
  <si>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</si>
  <si>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</si>
  <si>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</si>
  <si>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</si>
  <si>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</si>
  <si>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</si>
  <si>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</si>
  <si>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</si>
  <si>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</si>
  <si>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</si>
  <si>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</si>
  <si>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</si>
  <si>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</si>
  <si>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</si>
  <si>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</si>
  <si>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</si>
  <si>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</si>
  <si>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</si>
  <si>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</si>
  <si>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</si>
  <si>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</si>
  <si>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</si>
  <si>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</si>
  <si>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</si>
  <si>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</si>
  <si>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</si>
  <si>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</si>
  <si>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</si>
  <si>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</si>
  <si>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</si>
  <si>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</si>
  <si>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</si>
  <si>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</si>
  <si>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</si>
  <si>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</si>
  <si>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</si>
  <si>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</si>
  <si>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</si>
  <si>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</si>
  <si>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</si>
  <si>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</si>
  <si>
    <t>broad_class</t>
  </si>
  <si>
    <t>detailed_class</t>
  </si>
  <si>
    <t>tree_gain</t>
  </si>
  <si>
    <t>tree_loss</t>
  </si>
  <si>
    <t>crop_gain</t>
  </si>
  <si>
    <t>crop_loss</t>
  </si>
  <si>
    <t>tree_tree_undisturbed</t>
  </si>
  <si>
    <t>tree_tree_disturbed</t>
  </si>
  <si>
    <t>crop_crop_undisturbed</t>
  </si>
  <si>
    <t>short_veg_gain</t>
  </si>
  <si>
    <t>short_veg_loss</t>
  </si>
  <si>
    <t>short_veg_short_veg_undisturbed</t>
  </si>
  <si>
    <t>tree</t>
  </si>
  <si>
    <t>crop</t>
  </si>
  <si>
    <t>short_veg</t>
  </si>
  <si>
    <t>Not in decision tree</t>
  </si>
  <si>
    <t>no_flux</t>
  </si>
  <si>
    <t>Permanent loss of mangroves to water</t>
  </si>
  <si>
    <t>Permanent loss of mangroves to cropland</t>
  </si>
  <si>
    <t>Permanent loss of mangroves to settlement</t>
  </si>
  <si>
    <t>Permanent loss of mangroves to short vegetation</t>
  </si>
  <si>
    <t>Permanent loss of mangroves to tall vegetation</t>
  </si>
  <si>
    <t>Permanent loss of mangroves to anything else</t>
  </si>
  <si>
    <t>Temporary loss of mangroves</t>
  </si>
  <si>
    <t>Mangrove remaining mangrove + temp loss in interval</t>
  </si>
  <si>
    <t>Mangrove remaining mangrove, no loss in interval</t>
  </si>
  <si>
    <t>Before mangrove gain (mangrove mask)</t>
  </si>
  <si>
    <t>Non-mangrove remaining non-mangrove (mangrove mask)</t>
  </si>
  <si>
    <t>After permanent mangrove loss (mangrove mask)</t>
  </si>
  <si>
    <t>mangrove_other</t>
  </si>
  <si>
    <t>Gain of mangroves + temp loss in interval</t>
  </si>
  <si>
    <t>Gain of mangroves, no loss in interval</t>
  </si>
  <si>
    <t>land_state_meaning</t>
  </si>
  <si>
    <t>land_state_broad_class</t>
  </si>
  <si>
    <t>land_state_detailed_class</t>
  </si>
  <si>
    <t>land_state_unpadded</t>
  </si>
  <si>
    <t>land_state</t>
  </si>
  <si>
    <t>tall_veg_type</t>
  </si>
  <si>
    <t>mangrove</t>
  </si>
  <si>
    <t>oil_palm</t>
  </si>
  <si>
    <t>non_oil_palm_planted_trees</t>
  </si>
  <si>
    <t>natural_tree_cover</t>
  </si>
  <si>
    <t>trees_in_other_land_covers</t>
  </si>
  <si>
    <t>non_tall_vegetation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</si>
</sst>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1" xfId="0" applyBorder="1"/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A0781-4690-4C4E-8E78-7EC47B65C964}">
  <dimension ref="A1:F82"/>
  <sheetViews>
    <sheetView topLeftCell="A49" workbookViewId="0">
      <selection activeCell="D25" sqref="D2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6" si="0">A3&amp;REPT("0",8-LEN(A3))</f>
        <v>21200000</v>
      </c>
      <c r="C3" t="str">
        <f t="shared" ref="C3:C66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si="0"/>
        <v>42221212</v>
      </c>
      <c r="C63" t="str">
        <f t="shared" si="1"/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0"/>
        <v>42221229</v>
      </c>
      <c r="C64" t="str">
        <f t="shared" si="1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0"/>
        <v>42221222</v>
      </c>
      <c r="C65" t="str">
        <f t="shared" si="1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0"/>
        <v>42222900</v>
      </c>
      <c r="C66" t="str">
        <f t="shared" si="1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ref="B67:B82" si="2">A67&amp;REPT("0",8-LEN(A67))</f>
        <v>42222200</v>
      </c>
      <c r="C67" s="4" t="str">
        <f t="shared" ref="C67:C82" si="3">_xlfn.CONCAT("n",B67)</f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F82"/>
  <sheetViews>
    <sheetView workbookViewId="0">
      <selection activeCell="E2" sqref="E2:F5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32.26953125" bestFit="1" customWidth="1"/>
    <col min="5" max="5" width="15.08984375" bestFit="1" customWidth="1"/>
    <col min="6" max="6" width="30.54296875" bestFit="1" customWidth="1"/>
  </cols>
  <sheetData>
    <row r="1" spans="1:6">
      <c r="A1" s="1" t="s">
        <v>78</v>
      </c>
      <c r="B1" s="1" t="s">
        <v>76</v>
      </c>
      <c r="C1" s="1" t="s">
        <v>77</v>
      </c>
      <c r="D1" s="1" t="s">
        <v>0</v>
      </c>
      <c r="E1" s="1" t="s">
        <v>158</v>
      </c>
      <c r="F1" s="1" t="s">
        <v>159</v>
      </c>
    </row>
    <row r="2" spans="1:6">
      <c r="A2" s="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  <c r="E2" t="s">
        <v>170</v>
      </c>
      <c r="F2" t="s">
        <v>160</v>
      </c>
    </row>
    <row r="3" spans="1:6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  <c r="E3" t="s">
        <v>170</v>
      </c>
      <c r="F3" t="s">
        <v>160</v>
      </c>
    </row>
    <row r="4" spans="1:6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  <c r="E4" t="s">
        <v>170</v>
      </c>
      <c r="F4" t="s">
        <v>160</v>
      </c>
    </row>
    <row r="5" spans="1:6" s="4" customFormat="1">
      <c r="A5" s="3">
        <v>222</v>
      </c>
      <c r="B5" s="4" t="str">
        <f t="shared" si="0"/>
        <v>22200000</v>
      </c>
      <c r="C5" s="4" t="str">
        <f t="shared" si="1"/>
        <v>n22200000</v>
      </c>
      <c r="D5" s="3" t="s">
        <v>82</v>
      </c>
      <c r="E5" s="4" t="s">
        <v>170</v>
      </c>
      <c r="F5" s="4" t="s">
        <v>160</v>
      </c>
    </row>
    <row r="6" spans="1:6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  <c r="E6" t="s">
        <v>170</v>
      </c>
      <c r="F6" t="s">
        <v>161</v>
      </c>
    </row>
    <row r="7" spans="1:6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  <c r="E7" t="s">
        <v>170</v>
      </c>
      <c r="F7" t="s">
        <v>161</v>
      </c>
    </row>
    <row r="8" spans="1:6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  <c r="E8" t="s">
        <v>170</v>
      </c>
      <c r="F8" t="s">
        <v>161</v>
      </c>
    </row>
    <row r="9" spans="1:6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  <c r="E9" t="s">
        <v>170</v>
      </c>
      <c r="F9" t="s">
        <v>161</v>
      </c>
    </row>
    <row r="10" spans="1:6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  <c r="E10" t="s">
        <v>170</v>
      </c>
      <c r="F10" t="s">
        <v>161</v>
      </c>
    </row>
    <row r="11" spans="1:6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  <c r="E11" t="s">
        <v>170</v>
      </c>
      <c r="F11" t="s">
        <v>161</v>
      </c>
    </row>
    <row r="12" spans="1:6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  <c r="E12" t="s">
        <v>170</v>
      </c>
      <c r="F12" t="s">
        <v>161</v>
      </c>
    </row>
    <row r="13" spans="1:6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  <c r="E13" t="s">
        <v>170</v>
      </c>
      <c r="F13" t="s">
        <v>161</v>
      </c>
    </row>
    <row r="14" spans="1:6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  <c r="E14" t="s">
        <v>170</v>
      </c>
      <c r="F14" t="s">
        <v>161</v>
      </c>
    </row>
    <row r="15" spans="1:6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  <c r="E15" t="s">
        <v>170</v>
      </c>
      <c r="F15" t="s">
        <v>161</v>
      </c>
    </row>
    <row r="16" spans="1:6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  <c r="E16" t="s">
        <v>170</v>
      </c>
      <c r="F16" t="s">
        <v>161</v>
      </c>
    </row>
    <row r="17" spans="1:6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  <c r="E17" t="s">
        <v>170</v>
      </c>
      <c r="F17" t="s">
        <v>161</v>
      </c>
    </row>
    <row r="18" spans="1:6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  <c r="E18" t="s">
        <v>170</v>
      </c>
      <c r="F18" t="s">
        <v>161</v>
      </c>
    </row>
    <row r="19" spans="1:6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  <c r="E19" t="s">
        <v>170</v>
      </c>
      <c r="F19" t="s">
        <v>161</v>
      </c>
    </row>
    <row r="20" spans="1:6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  <c r="E20" t="s">
        <v>170</v>
      </c>
      <c r="F20" t="s">
        <v>161</v>
      </c>
    </row>
    <row r="21" spans="1:6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  <c r="E21" t="s">
        <v>170</v>
      </c>
      <c r="F21" t="s">
        <v>161</v>
      </c>
    </row>
    <row r="22" spans="1:6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  <c r="E22" t="s">
        <v>170</v>
      </c>
      <c r="F22" t="s">
        <v>161</v>
      </c>
    </row>
    <row r="23" spans="1:6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  <c r="E23" t="s">
        <v>170</v>
      </c>
      <c r="F23" t="s">
        <v>161</v>
      </c>
    </row>
    <row r="24" spans="1:6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  <c r="E24" t="s">
        <v>170</v>
      </c>
      <c r="F24" t="s">
        <v>161</v>
      </c>
    </row>
    <row r="25" spans="1:6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  <c r="E25" t="s">
        <v>170</v>
      </c>
      <c r="F25" t="s">
        <v>161</v>
      </c>
    </row>
    <row r="26" spans="1:6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  <c r="E26" t="s">
        <v>170</v>
      </c>
      <c r="F26" t="s">
        <v>161</v>
      </c>
    </row>
    <row r="27" spans="1:6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  <c r="E27" t="s">
        <v>170</v>
      </c>
      <c r="F27" t="s">
        <v>161</v>
      </c>
    </row>
    <row r="28" spans="1:6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  <c r="E28" t="s">
        <v>170</v>
      </c>
      <c r="F28" t="s">
        <v>161</v>
      </c>
    </row>
    <row r="29" spans="1:6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  <c r="E29" t="s">
        <v>170</v>
      </c>
      <c r="F29" t="s">
        <v>161</v>
      </c>
    </row>
    <row r="30" spans="1:6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  <c r="E30" t="s">
        <v>170</v>
      </c>
      <c r="F30" t="s">
        <v>161</v>
      </c>
    </row>
    <row r="31" spans="1:6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  <c r="E31" t="s">
        <v>170</v>
      </c>
      <c r="F31" t="s">
        <v>161</v>
      </c>
    </row>
    <row r="32" spans="1:6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  <c r="E32" t="s">
        <v>170</v>
      </c>
      <c r="F32" t="s">
        <v>161</v>
      </c>
    </row>
    <row r="33" spans="1:6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  <c r="E33" t="s">
        <v>170</v>
      </c>
      <c r="F33" t="s">
        <v>161</v>
      </c>
    </row>
    <row r="34" spans="1:6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  <c r="E34" t="s">
        <v>170</v>
      </c>
      <c r="F34" t="s">
        <v>161</v>
      </c>
    </row>
    <row r="35" spans="1:6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  <c r="E35" t="s">
        <v>170</v>
      </c>
      <c r="F35" t="s">
        <v>161</v>
      </c>
    </row>
    <row r="36" spans="1:6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  <c r="E36" t="s">
        <v>170</v>
      </c>
      <c r="F36" t="s">
        <v>161</v>
      </c>
    </row>
    <row r="37" spans="1:6" s="4" customFormat="1">
      <c r="A37" s="3">
        <v>32242</v>
      </c>
      <c r="B37" s="4" t="str">
        <f t="shared" si="0"/>
        <v>32242000</v>
      </c>
      <c r="C37" s="4" t="str">
        <f t="shared" si="1"/>
        <v>n32242000</v>
      </c>
      <c r="D37" s="3" t="s">
        <v>114</v>
      </c>
      <c r="E37" s="4" t="s">
        <v>170</v>
      </c>
      <c r="F37" s="4" t="s">
        <v>161</v>
      </c>
    </row>
    <row r="38" spans="1:6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  <c r="E38" t="s">
        <v>170</v>
      </c>
      <c r="F38" t="s">
        <v>161</v>
      </c>
    </row>
    <row r="39" spans="1:6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  <c r="E39" t="s">
        <v>170</v>
      </c>
      <c r="F39" t="s">
        <v>161</v>
      </c>
    </row>
    <row r="40" spans="1:6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  <c r="E40" t="s">
        <v>170</v>
      </c>
      <c r="F40" t="s">
        <v>165</v>
      </c>
    </row>
    <row r="41" spans="1:6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  <c r="E41" t="s">
        <v>170</v>
      </c>
      <c r="F41" t="s">
        <v>165</v>
      </c>
    </row>
    <row r="42" spans="1:6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  <c r="E42" t="s">
        <v>170</v>
      </c>
      <c r="F42" t="s">
        <v>165</v>
      </c>
    </row>
    <row r="43" spans="1:6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  <c r="E43" t="s">
        <v>170</v>
      </c>
      <c r="F43" t="s">
        <v>165</v>
      </c>
    </row>
    <row r="44" spans="1:6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  <c r="E44" t="s">
        <v>170</v>
      </c>
      <c r="F44" t="s">
        <v>165</v>
      </c>
    </row>
    <row r="45" spans="1:6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  <c r="E45" t="s">
        <v>170</v>
      </c>
      <c r="F45" t="s">
        <v>165</v>
      </c>
    </row>
    <row r="46" spans="1:6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  <c r="E46" t="s">
        <v>170</v>
      </c>
      <c r="F46" t="s">
        <v>165</v>
      </c>
    </row>
    <row r="47" spans="1:6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  <c r="E47" t="s">
        <v>170</v>
      </c>
      <c r="F47" t="s">
        <v>165</v>
      </c>
    </row>
    <row r="48" spans="1:6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  <c r="E48" t="s">
        <v>170</v>
      </c>
      <c r="F48" t="s">
        <v>165</v>
      </c>
    </row>
    <row r="49" spans="1:6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  <c r="E49" t="s">
        <v>170</v>
      </c>
      <c r="F49" t="s">
        <v>165</v>
      </c>
    </row>
    <row r="50" spans="1:6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  <c r="E50" t="s">
        <v>170</v>
      </c>
      <c r="F50" t="s">
        <v>165</v>
      </c>
    </row>
    <row r="51" spans="1:6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  <c r="E51" t="s">
        <v>170</v>
      </c>
      <c r="F51" t="s">
        <v>165</v>
      </c>
    </row>
    <row r="52" spans="1:6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  <c r="E52" t="s">
        <v>170</v>
      </c>
      <c r="F52" t="s">
        <v>165</v>
      </c>
    </row>
    <row r="53" spans="1:6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  <c r="E53" t="s">
        <v>170</v>
      </c>
      <c r="F53" t="s">
        <v>165</v>
      </c>
    </row>
    <row r="54" spans="1:6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  <c r="E54" t="s">
        <v>170</v>
      </c>
      <c r="F54" t="s">
        <v>165</v>
      </c>
    </row>
    <row r="55" spans="1:6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  <c r="E55" t="s">
        <v>170</v>
      </c>
      <c r="F55" t="s">
        <v>165</v>
      </c>
    </row>
    <row r="56" spans="1:6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  <c r="E56" t="s">
        <v>170</v>
      </c>
      <c r="F56" t="s">
        <v>164</v>
      </c>
    </row>
    <row r="57" spans="1:6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  <c r="E57" t="s">
        <v>170</v>
      </c>
      <c r="F57" t="s">
        <v>164</v>
      </c>
    </row>
    <row r="58" spans="1:6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  <c r="E58" t="s">
        <v>170</v>
      </c>
      <c r="F58" t="s">
        <v>164</v>
      </c>
    </row>
    <row r="59" spans="1:6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  <c r="E59" t="s">
        <v>170</v>
      </c>
      <c r="F59" t="s">
        <v>164</v>
      </c>
    </row>
    <row r="60" spans="1:6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  <c r="E60" t="s">
        <v>170</v>
      </c>
      <c r="F60" t="s">
        <v>164</v>
      </c>
    </row>
    <row r="61" spans="1:6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  <c r="E61" t="s">
        <v>170</v>
      </c>
      <c r="F61" t="s">
        <v>164</v>
      </c>
    </row>
    <row r="62" spans="1:6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  <c r="E62" t="s">
        <v>170</v>
      </c>
      <c r="F62" t="s">
        <v>164</v>
      </c>
    </row>
    <row r="63" spans="1:6">
      <c r="A63" s="2">
        <v>42221212</v>
      </c>
      <c r="B63" t="str">
        <f t="shared" ref="B63:B82" si="2">A63&amp;REPT("0",8-LEN(A63))</f>
        <v>42221212</v>
      </c>
      <c r="C63" t="str">
        <f t="shared" ref="C63:C82" si="3">_xlfn.CONCAT("n",B63)</f>
        <v>n42221212</v>
      </c>
      <c r="D63" s="2" t="s">
        <v>140</v>
      </c>
      <c r="E63" t="s">
        <v>170</v>
      </c>
      <c r="F63" t="s">
        <v>164</v>
      </c>
    </row>
    <row r="64" spans="1:6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  <c r="E64" t="s">
        <v>170</v>
      </c>
      <c r="F64" t="s">
        <v>164</v>
      </c>
    </row>
    <row r="65" spans="1:6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  <c r="E65" t="s">
        <v>170</v>
      </c>
      <c r="F65" t="s">
        <v>164</v>
      </c>
    </row>
    <row r="66" spans="1:6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  <c r="E66" t="s">
        <v>170</v>
      </c>
      <c r="F66" t="s">
        <v>164</v>
      </c>
    </row>
    <row r="67" spans="1:6" s="4" customFormat="1">
      <c r="A67" s="3">
        <v>422222</v>
      </c>
      <c r="B67" s="4" t="str">
        <f t="shared" si="2"/>
        <v>42222200</v>
      </c>
      <c r="C67" s="4" t="str">
        <f t="shared" si="3"/>
        <v>n42222200</v>
      </c>
      <c r="D67" s="3" t="s">
        <v>144</v>
      </c>
      <c r="E67" s="4" t="s">
        <v>170</v>
      </c>
      <c r="F67" s="4" t="s">
        <v>164</v>
      </c>
    </row>
    <row r="68" spans="1:6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  <c r="E68" t="s">
        <v>171</v>
      </c>
      <c r="F68" t="s">
        <v>162</v>
      </c>
    </row>
    <row r="69" spans="1:6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  <c r="E69" t="s">
        <v>171</v>
      </c>
      <c r="F69" t="s">
        <v>163</v>
      </c>
    </row>
    <row r="70" spans="1:6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  <c r="E70" t="s">
        <v>171</v>
      </c>
      <c r="F70" t="s">
        <v>163</v>
      </c>
    </row>
    <row r="71" spans="1:6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  <c r="E71" t="s">
        <v>171</v>
      </c>
      <c r="F71" t="s">
        <v>163</v>
      </c>
    </row>
    <row r="72" spans="1:6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  <c r="E72" t="s">
        <v>171</v>
      </c>
      <c r="F72" t="s">
        <v>163</v>
      </c>
    </row>
    <row r="73" spans="1:6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  <c r="E73" t="s">
        <v>171</v>
      </c>
      <c r="F73" t="s">
        <v>163</v>
      </c>
    </row>
    <row r="74" spans="1:6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  <c r="E74" t="s">
        <v>171</v>
      </c>
      <c r="F74" t="s">
        <v>166</v>
      </c>
    </row>
    <row r="75" spans="1:6" s="4" customFormat="1">
      <c r="A75" s="3">
        <v>532</v>
      </c>
      <c r="B75" s="4" t="str">
        <f t="shared" si="2"/>
        <v>53200000</v>
      </c>
      <c r="C75" s="4" t="str">
        <f t="shared" si="3"/>
        <v>n53200000</v>
      </c>
      <c r="D75" s="3" t="s">
        <v>151</v>
      </c>
      <c r="E75" s="4" t="s">
        <v>171</v>
      </c>
      <c r="F75" s="4" t="s">
        <v>166</v>
      </c>
    </row>
    <row r="76" spans="1:6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  <c r="E76" t="s">
        <v>172</v>
      </c>
      <c r="F76" t="s">
        <v>167</v>
      </c>
    </row>
    <row r="77" spans="1:6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  <c r="E77" t="s">
        <v>172</v>
      </c>
      <c r="F77" t="s">
        <v>168</v>
      </c>
    </row>
    <row r="78" spans="1:6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  <c r="E78" t="s">
        <v>172</v>
      </c>
      <c r="F78" t="s">
        <v>168</v>
      </c>
    </row>
    <row r="79" spans="1:6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  <c r="E79" t="s">
        <v>172</v>
      </c>
      <c r="F79" t="s">
        <v>168</v>
      </c>
    </row>
    <row r="80" spans="1:6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  <c r="E80" t="s">
        <v>172</v>
      </c>
      <c r="F80" t="s">
        <v>169</v>
      </c>
    </row>
    <row r="81" spans="1:6" s="4" customFormat="1">
      <c r="A81" s="3">
        <v>632</v>
      </c>
      <c r="B81" s="4" t="str">
        <f t="shared" si="2"/>
        <v>63200000</v>
      </c>
      <c r="C81" s="4" t="str">
        <f t="shared" si="3"/>
        <v>n63200000</v>
      </c>
      <c r="D81" s="3" t="s">
        <v>157</v>
      </c>
      <c r="E81" s="4" t="s">
        <v>172</v>
      </c>
      <c r="F81" s="4" t="s">
        <v>169</v>
      </c>
    </row>
    <row r="82" spans="1:6">
      <c r="A82" s="2">
        <v>7</v>
      </c>
      <c r="B82" t="str">
        <f t="shared" si="2"/>
        <v>70000000</v>
      </c>
      <c r="C82" t="str">
        <f t="shared" si="3"/>
        <v>n70000000</v>
      </c>
      <c r="D82" s="2" t="s">
        <v>173</v>
      </c>
      <c r="E82" t="s">
        <v>174</v>
      </c>
      <c r="F82" t="s">
        <v>174</v>
      </c>
    </row>
  </sheetData>
  <autoFilter ref="A1:F1" xr:uid="{853D7656-B308-4E3A-9467-98AD8F1F4D6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BB84B-4BF3-4978-BFCA-0C4F8A30C442}">
  <dimension ref="A1:G96"/>
  <sheetViews>
    <sheetView tabSelected="1" topLeftCell="A37" workbookViewId="0">
      <selection activeCell="D53" sqref="D53"/>
    </sheetView>
  </sheetViews>
  <sheetFormatPr defaultRowHeight="14.5"/>
  <cols>
    <col min="1" max="1" width="23.54296875" bestFit="1" customWidth="1"/>
    <col min="2" max="2" width="13.6328125" bestFit="1" customWidth="1"/>
    <col min="3" max="3" width="24.81640625" bestFit="1" customWidth="1"/>
    <col min="4" max="4" width="125.54296875" customWidth="1"/>
    <col min="5" max="5" width="15.08984375" bestFit="1" customWidth="1"/>
    <col min="6" max="6" width="30.54296875" bestFit="1" customWidth="1"/>
    <col min="7" max="7" width="14.81640625" bestFit="1" customWidth="1"/>
  </cols>
  <sheetData>
    <row r="1" spans="1:7">
      <c r="A1" s="1" t="s">
        <v>193</v>
      </c>
      <c r="B1" s="1" t="s">
        <v>194</v>
      </c>
      <c r="C1" s="1" t="s">
        <v>77</v>
      </c>
      <c r="D1" s="1" t="s">
        <v>190</v>
      </c>
      <c r="E1" s="1" t="s">
        <v>191</v>
      </c>
      <c r="F1" s="1" t="s">
        <v>192</v>
      </c>
      <c r="G1" s="1" t="s">
        <v>195</v>
      </c>
    </row>
    <row r="2" spans="1:7">
      <c r="A2" s="2">
        <v>111</v>
      </c>
      <c r="B2" t="str">
        <f t="shared" ref="B2:B3" si="0">A2&amp;REPT("0",8-LEN(A2))</f>
        <v>11100000</v>
      </c>
      <c r="C2" t="str">
        <f t="shared" ref="C2:C3" si="1">_xlfn.CONCAT("n",B2)</f>
        <v>n11100000</v>
      </c>
      <c r="D2" s="2" t="s">
        <v>188</v>
      </c>
      <c r="E2" t="s">
        <v>170</v>
      </c>
      <c r="F2" t="s">
        <v>161</v>
      </c>
      <c r="G2" t="s">
        <v>196</v>
      </c>
    </row>
    <row r="3" spans="1:7">
      <c r="A3" s="2">
        <v>112</v>
      </c>
      <c r="B3" t="str">
        <f t="shared" si="0"/>
        <v>11200000</v>
      </c>
      <c r="C3" t="str">
        <f t="shared" si="1"/>
        <v>n11200000</v>
      </c>
      <c r="D3" s="2" t="s">
        <v>189</v>
      </c>
      <c r="E3" t="s">
        <v>170</v>
      </c>
      <c r="F3" t="s">
        <v>160</v>
      </c>
      <c r="G3" t="s">
        <v>196</v>
      </c>
    </row>
    <row r="4" spans="1:7">
      <c r="A4" s="2">
        <v>122</v>
      </c>
      <c r="B4" t="str">
        <f>A4&amp;REPT("0",8-LEN(A4))</f>
        <v>12200000</v>
      </c>
      <c r="C4" t="str">
        <f>_xlfn.CONCAT("n",B4)</f>
        <v>n12200000</v>
      </c>
      <c r="D4" s="2" t="s">
        <v>175</v>
      </c>
      <c r="E4" t="s">
        <v>170</v>
      </c>
      <c r="F4" t="s">
        <v>161</v>
      </c>
      <c r="G4" t="s">
        <v>196</v>
      </c>
    </row>
    <row r="5" spans="1:7">
      <c r="A5" s="2">
        <v>123</v>
      </c>
      <c r="B5" t="str">
        <f t="shared" ref="B5:B68" si="2">A5&amp;REPT("0",8-LEN(A5))</f>
        <v>12300000</v>
      </c>
      <c r="C5" t="str">
        <f t="shared" ref="C5:C68" si="3">_xlfn.CONCAT("n",B5)</f>
        <v>n12300000</v>
      </c>
      <c r="D5" s="2" t="s">
        <v>176</v>
      </c>
      <c r="E5" t="s">
        <v>170</v>
      </c>
      <c r="F5" t="s">
        <v>161</v>
      </c>
      <c r="G5" t="s">
        <v>196</v>
      </c>
    </row>
    <row r="6" spans="1:7">
      <c r="A6" s="2">
        <v>124</v>
      </c>
      <c r="B6" t="str">
        <f t="shared" si="2"/>
        <v>12400000</v>
      </c>
      <c r="C6" t="str">
        <f t="shared" si="3"/>
        <v>n12400000</v>
      </c>
      <c r="D6" s="2" t="s">
        <v>177</v>
      </c>
      <c r="E6" t="s">
        <v>170</v>
      </c>
      <c r="F6" t="s">
        <v>161</v>
      </c>
      <c r="G6" t="s">
        <v>196</v>
      </c>
    </row>
    <row r="7" spans="1:7">
      <c r="A7" s="2">
        <v>125</v>
      </c>
      <c r="B7" t="str">
        <f t="shared" si="2"/>
        <v>12500000</v>
      </c>
      <c r="C7" t="str">
        <f t="shared" si="3"/>
        <v>n12500000</v>
      </c>
      <c r="D7" s="2" t="s">
        <v>178</v>
      </c>
      <c r="E7" t="s">
        <v>170</v>
      </c>
      <c r="F7" t="s">
        <v>161</v>
      </c>
      <c r="G7" t="s">
        <v>196</v>
      </c>
    </row>
    <row r="8" spans="1:7">
      <c r="A8" s="2">
        <v>126</v>
      </c>
      <c r="B8" t="str">
        <f t="shared" si="2"/>
        <v>12600000</v>
      </c>
      <c r="C8" t="str">
        <f t="shared" si="3"/>
        <v>n12600000</v>
      </c>
      <c r="D8" s="2" t="s">
        <v>179</v>
      </c>
      <c r="E8" t="s">
        <v>170</v>
      </c>
      <c r="F8" t="s">
        <v>161</v>
      </c>
      <c r="G8" t="s">
        <v>196</v>
      </c>
    </row>
    <row r="9" spans="1:7">
      <c r="A9" s="2">
        <v>127</v>
      </c>
      <c r="B9" t="str">
        <f t="shared" si="2"/>
        <v>12700000</v>
      </c>
      <c r="C9" t="str">
        <f t="shared" si="3"/>
        <v>n12700000</v>
      </c>
      <c r="D9" s="2" t="s">
        <v>180</v>
      </c>
      <c r="E9" t="s">
        <v>170</v>
      </c>
      <c r="F9" t="s">
        <v>161</v>
      </c>
      <c r="G9" t="s">
        <v>196</v>
      </c>
    </row>
    <row r="10" spans="1:7">
      <c r="A10" s="2">
        <v>121</v>
      </c>
      <c r="B10" t="str">
        <f t="shared" si="2"/>
        <v>12100000</v>
      </c>
      <c r="C10" t="str">
        <f t="shared" si="3"/>
        <v>n12100000</v>
      </c>
      <c r="D10" s="2" t="s">
        <v>181</v>
      </c>
      <c r="E10" t="s">
        <v>170</v>
      </c>
      <c r="F10" t="s">
        <v>161</v>
      </c>
      <c r="G10" t="s">
        <v>196</v>
      </c>
    </row>
    <row r="11" spans="1:7">
      <c r="A11" s="2">
        <v>131</v>
      </c>
      <c r="B11" t="str">
        <f t="shared" si="2"/>
        <v>13100000</v>
      </c>
      <c r="C11" t="str">
        <f t="shared" si="3"/>
        <v>n13100000</v>
      </c>
      <c r="D11" s="2" t="s">
        <v>182</v>
      </c>
      <c r="E11" t="s">
        <v>170</v>
      </c>
      <c r="F11" t="s">
        <v>161</v>
      </c>
      <c r="G11" t="s">
        <v>196</v>
      </c>
    </row>
    <row r="12" spans="1:7">
      <c r="A12" s="2">
        <v>132</v>
      </c>
      <c r="B12" t="str">
        <f t="shared" si="2"/>
        <v>13200000</v>
      </c>
      <c r="C12" t="str">
        <f t="shared" si="3"/>
        <v>n13200000</v>
      </c>
      <c r="D12" s="2" t="s">
        <v>183</v>
      </c>
      <c r="E12" t="s">
        <v>170</v>
      </c>
      <c r="F12" t="s">
        <v>164</v>
      </c>
      <c r="G12" t="s">
        <v>196</v>
      </c>
    </row>
    <row r="13" spans="1:7">
      <c r="A13" s="2">
        <v>100</v>
      </c>
      <c r="B13" t="str">
        <f t="shared" si="2"/>
        <v>10000000</v>
      </c>
      <c r="C13" t="str">
        <f t="shared" si="3"/>
        <v>n10000000</v>
      </c>
      <c r="D13" s="2" t="s">
        <v>184</v>
      </c>
      <c r="E13" t="s">
        <v>170</v>
      </c>
      <c r="F13" t="s">
        <v>187</v>
      </c>
      <c r="G13" t="s">
        <v>196</v>
      </c>
    </row>
    <row r="14" spans="1:7">
      <c r="A14" s="2">
        <v>101</v>
      </c>
      <c r="B14" t="str">
        <f t="shared" si="2"/>
        <v>10100000</v>
      </c>
      <c r="C14" t="str">
        <f t="shared" si="3"/>
        <v>n10100000</v>
      </c>
      <c r="D14" s="2" t="s">
        <v>185</v>
      </c>
      <c r="E14" t="s">
        <v>170</v>
      </c>
      <c r="F14" t="s">
        <v>187</v>
      </c>
      <c r="G14" t="s">
        <v>196</v>
      </c>
    </row>
    <row r="15" spans="1:7" s="4" customFormat="1">
      <c r="A15" s="3">
        <v>102</v>
      </c>
      <c r="B15" s="4" t="str">
        <f t="shared" si="2"/>
        <v>10200000</v>
      </c>
      <c r="C15" s="4" t="str">
        <f t="shared" si="3"/>
        <v>n10200000</v>
      </c>
      <c r="D15" s="3" t="s">
        <v>186</v>
      </c>
      <c r="E15" s="4" t="s">
        <v>170</v>
      </c>
      <c r="F15" s="4" t="s">
        <v>187</v>
      </c>
      <c r="G15" s="4" t="s">
        <v>196</v>
      </c>
    </row>
    <row r="16" spans="1:7">
      <c r="A16" s="2">
        <v>211</v>
      </c>
      <c r="B16" t="str">
        <f t="shared" si="2"/>
        <v>21100000</v>
      </c>
      <c r="C16" t="str">
        <f t="shared" si="3"/>
        <v>n21100000</v>
      </c>
      <c r="D16" s="2" t="s">
        <v>79</v>
      </c>
      <c r="E16" t="s">
        <v>170</v>
      </c>
      <c r="F16" t="s">
        <v>160</v>
      </c>
      <c r="G16" s="5" t="s">
        <v>197</v>
      </c>
    </row>
    <row r="17" spans="1:7">
      <c r="A17" s="2">
        <v>212</v>
      </c>
      <c r="B17" t="str">
        <f t="shared" si="2"/>
        <v>21200000</v>
      </c>
      <c r="C17" t="str">
        <f t="shared" si="3"/>
        <v>n21200000</v>
      </c>
      <c r="D17" s="2" t="s">
        <v>80</v>
      </c>
      <c r="E17" t="s">
        <v>170</v>
      </c>
      <c r="F17" t="s">
        <v>160</v>
      </c>
      <c r="G17" s="5" t="s">
        <v>198</v>
      </c>
    </row>
    <row r="18" spans="1:7">
      <c r="A18" s="2">
        <v>221</v>
      </c>
      <c r="B18" t="str">
        <f t="shared" si="2"/>
        <v>22100000</v>
      </c>
      <c r="C18" t="str">
        <f t="shared" si="3"/>
        <v>n22100000</v>
      </c>
      <c r="D18" s="2" t="s">
        <v>81</v>
      </c>
      <c r="E18" t="s">
        <v>170</v>
      </c>
      <c r="F18" t="s">
        <v>160</v>
      </c>
      <c r="G18" s="5" t="s">
        <v>199</v>
      </c>
    </row>
    <row r="19" spans="1:7" s="4" customFormat="1">
      <c r="A19" s="3">
        <v>222</v>
      </c>
      <c r="B19" s="4" t="str">
        <f t="shared" si="2"/>
        <v>22200000</v>
      </c>
      <c r="C19" s="4" t="str">
        <f t="shared" si="3"/>
        <v>n22200000</v>
      </c>
      <c r="D19" s="3" t="s">
        <v>82</v>
      </c>
      <c r="E19" s="4" t="s">
        <v>170</v>
      </c>
      <c r="F19" s="4" t="s">
        <v>160</v>
      </c>
      <c r="G19" s="4" t="s">
        <v>200</v>
      </c>
    </row>
    <row r="20" spans="1:7">
      <c r="A20" s="2">
        <v>3119</v>
      </c>
      <c r="B20" t="str">
        <f t="shared" si="2"/>
        <v>31190000</v>
      </c>
      <c r="C20" t="str">
        <f t="shared" si="3"/>
        <v>n31190000</v>
      </c>
      <c r="D20" s="2" t="s">
        <v>83</v>
      </c>
      <c r="E20" t="s">
        <v>170</v>
      </c>
      <c r="F20" t="s">
        <v>161</v>
      </c>
      <c r="G20" s="5" t="s">
        <v>197</v>
      </c>
    </row>
    <row r="21" spans="1:7">
      <c r="A21" s="2">
        <v>3112</v>
      </c>
      <c r="B21" t="str">
        <f t="shared" si="2"/>
        <v>31120000</v>
      </c>
      <c r="C21" t="str">
        <f t="shared" si="3"/>
        <v>n31120000</v>
      </c>
      <c r="D21" s="2" t="s">
        <v>84</v>
      </c>
      <c r="E21" t="s">
        <v>170</v>
      </c>
      <c r="F21" t="s">
        <v>161</v>
      </c>
      <c r="G21" s="5" t="s">
        <v>197</v>
      </c>
    </row>
    <row r="22" spans="1:7">
      <c r="A22" s="2">
        <v>312119</v>
      </c>
      <c r="B22" t="str">
        <f t="shared" si="2"/>
        <v>31211900</v>
      </c>
      <c r="C22" t="str">
        <f t="shared" si="3"/>
        <v>n31211900</v>
      </c>
      <c r="D22" s="2" t="s">
        <v>85</v>
      </c>
      <c r="E22" t="s">
        <v>170</v>
      </c>
      <c r="F22" t="s">
        <v>161</v>
      </c>
      <c r="G22" s="5" t="s">
        <v>198</v>
      </c>
    </row>
    <row r="23" spans="1:7">
      <c r="A23" s="2">
        <v>312112</v>
      </c>
      <c r="B23" t="str">
        <f t="shared" si="2"/>
        <v>31211200</v>
      </c>
      <c r="C23" t="str">
        <f t="shared" si="3"/>
        <v>n31211200</v>
      </c>
      <c r="D23" s="2" t="s">
        <v>86</v>
      </c>
      <c r="E23" t="s">
        <v>170</v>
      </c>
      <c r="F23" t="s">
        <v>161</v>
      </c>
      <c r="G23" s="5" t="s">
        <v>198</v>
      </c>
    </row>
    <row r="24" spans="1:7">
      <c r="A24" s="2">
        <v>312129</v>
      </c>
      <c r="B24" t="str">
        <f t="shared" si="2"/>
        <v>31212900</v>
      </c>
      <c r="C24" t="str">
        <f t="shared" si="3"/>
        <v>n31212900</v>
      </c>
      <c r="D24" s="2" t="s">
        <v>87</v>
      </c>
      <c r="E24" t="s">
        <v>170</v>
      </c>
      <c r="F24" t="s">
        <v>161</v>
      </c>
      <c r="G24" s="5" t="s">
        <v>198</v>
      </c>
    </row>
    <row r="25" spans="1:7">
      <c r="A25" s="2">
        <v>312122</v>
      </c>
      <c r="B25" t="str">
        <f t="shared" si="2"/>
        <v>31212200</v>
      </c>
      <c r="C25" t="str">
        <f t="shared" si="3"/>
        <v>n31212200</v>
      </c>
      <c r="D25" s="2" t="s">
        <v>88</v>
      </c>
      <c r="E25" t="s">
        <v>170</v>
      </c>
      <c r="F25" t="s">
        <v>161</v>
      </c>
      <c r="G25" s="5" t="s">
        <v>198</v>
      </c>
    </row>
    <row r="26" spans="1:7">
      <c r="A26" s="2">
        <v>312219</v>
      </c>
      <c r="B26" t="str">
        <f t="shared" si="2"/>
        <v>31221900</v>
      </c>
      <c r="C26" t="str">
        <f t="shared" si="3"/>
        <v>n31221900</v>
      </c>
      <c r="D26" s="2" t="s">
        <v>89</v>
      </c>
      <c r="E26" t="s">
        <v>170</v>
      </c>
      <c r="F26" t="s">
        <v>161</v>
      </c>
      <c r="G26" s="5" t="s">
        <v>198</v>
      </c>
    </row>
    <row r="27" spans="1:7">
      <c r="A27" s="2">
        <v>312212</v>
      </c>
      <c r="B27" t="str">
        <f t="shared" si="2"/>
        <v>31221200</v>
      </c>
      <c r="C27" t="str">
        <f t="shared" si="3"/>
        <v>n31221200</v>
      </c>
      <c r="D27" s="2" t="s">
        <v>90</v>
      </c>
      <c r="E27" t="s">
        <v>170</v>
      </c>
      <c r="F27" t="s">
        <v>161</v>
      </c>
      <c r="G27" s="5" t="s">
        <v>198</v>
      </c>
    </row>
    <row r="28" spans="1:7">
      <c r="A28" s="2">
        <v>312229</v>
      </c>
      <c r="B28" t="str">
        <f t="shared" si="2"/>
        <v>31222900</v>
      </c>
      <c r="C28" t="str">
        <f t="shared" si="3"/>
        <v>n31222900</v>
      </c>
      <c r="D28" s="2" t="s">
        <v>91</v>
      </c>
      <c r="E28" t="s">
        <v>170</v>
      </c>
      <c r="F28" t="s">
        <v>161</v>
      </c>
      <c r="G28" s="5" t="s">
        <v>198</v>
      </c>
    </row>
    <row r="29" spans="1:7">
      <c r="A29" s="2">
        <v>312222</v>
      </c>
      <c r="B29" t="str">
        <f t="shared" si="2"/>
        <v>31222200</v>
      </c>
      <c r="C29" t="str">
        <f t="shared" si="3"/>
        <v>n31222200</v>
      </c>
      <c r="D29" s="2" t="s">
        <v>92</v>
      </c>
      <c r="E29" t="s">
        <v>170</v>
      </c>
      <c r="F29" t="s">
        <v>161</v>
      </c>
      <c r="G29" s="5" t="s">
        <v>198</v>
      </c>
    </row>
    <row r="30" spans="1:7">
      <c r="A30" s="2">
        <v>312319</v>
      </c>
      <c r="B30" t="str">
        <f t="shared" si="2"/>
        <v>31231900</v>
      </c>
      <c r="C30" t="str">
        <f t="shared" si="3"/>
        <v>n31231900</v>
      </c>
      <c r="D30" s="2" t="s">
        <v>93</v>
      </c>
      <c r="E30" t="s">
        <v>170</v>
      </c>
      <c r="F30" t="s">
        <v>161</v>
      </c>
      <c r="G30" s="5" t="s">
        <v>198</v>
      </c>
    </row>
    <row r="31" spans="1:7">
      <c r="A31" s="2">
        <v>312312</v>
      </c>
      <c r="B31" t="str">
        <f t="shared" si="2"/>
        <v>31231200</v>
      </c>
      <c r="C31" t="str">
        <f t="shared" si="3"/>
        <v>n31231200</v>
      </c>
      <c r="D31" s="2" t="s">
        <v>94</v>
      </c>
      <c r="E31" t="s">
        <v>170</v>
      </c>
      <c r="F31" t="s">
        <v>161</v>
      </c>
      <c r="G31" s="5" t="s">
        <v>198</v>
      </c>
    </row>
    <row r="32" spans="1:7">
      <c r="A32" s="2">
        <v>312329</v>
      </c>
      <c r="B32" t="str">
        <f t="shared" si="2"/>
        <v>31232900</v>
      </c>
      <c r="C32" t="str">
        <f t="shared" si="3"/>
        <v>n31232900</v>
      </c>
      <c r="D32" s="2" t="s">
        <v>95</v>
      </c>
      <c r="E32" t="s">
        <v>170</v>
      </c>
      <c r="F32" t="s">
        <v>161</v>
      </c>
      <c r="G32" s="5" t="s">
        <v>198</v>
      </c>
    </row>
    <row r="33" spans="1:7">
      <c r="A33" s="2">
        <v>312322</v>
      </c>
      <c r="B33" t="str">
        <f t="shared" si="2"/>
        <v>31232200</v>
      </c>
      <c r="C33" t="str">
        <f t="shared" si="3"/>
        <v>n31232200</v>
      </c>
      <c r="D33" s="2" t="s">
        <v>96</v>
      </c>
      <c r="E33" t="s">
        <v>170</v>
      </c>
      <c r="F33" t="s">
        <v>161</v>
      </c>
      <c r="G33" s="5" t="s">
        <v>198</v>
      </c>
    </row>
    <row r="34" spans="1:7">
      <c r="A34" s="2">
        <v>312412</v>
      </c>
      <c r="B34" t="str">
        <f t="shared" si="2"/>
        <v>31241200</v>
      </c>
      <c r="C34" t="str">
        <f t="shared" si="3"/>
        <v>n31241200</v>
      </c>
      <c r="D34" s="2" t="s">
        <v>97</v>
      </c>
      <c r="E34" t="s">
        <v>170</v>
      </c>
      <c r="F34" t="s">
        <v>161</v>
      </c>
      <c r="G34" s="5" t="s">
        <v>198</v>
      </c>
    </row>
    <row r="35" spans="1:7">
      <c r="A35" s="2">
        <v>312422</v>
      </c>
      <c r="B35" t="str">
        <f t="shared" si="2"/>
        <v>31242200</v>
      </c>
      <c r="C35" t="str">
        <f t="shared" si="3"/>
        <v>n31242200</v>
      </c>
      <c r="D35" s="2" t="s">
        <v>98</v>
      </c>
      <c r="E35" t="s">
        <v>170</v>
      </c>
      <c r="F35" t="s">
        <v>161</v>
      </c>
      <c r="G35" s="5" t="s">
        <v>198</v>
      </c>
    </row>
    <row r="36" spans="1:7">
      <c r="A36" s="2">
        <v>32119</v>
      </c>
      <c r="B36" t="str">
        <f t="shared" si="2"/>
        <v>32119000</v>
      </c>
      <c r="C36" t="str">
        <f t="shared" si="3"/>
        <v>n32119000</v>
      </c>
      <c r="D36" s="2" t="s">
        <v>99</v>
      </c>
      <c r="E36" t="s">
        <v>170</v>
      </c>
      <c r="F36" t="s">
        <v>161</v>
      </c>
      <c r="G36" s="5" t="s">
        <v>199</v>
      </c>
    </row>
    <row r="37" spans="1:7">
      <c r="A37" s="2">
        <v>32112</v>
      </c>
      <c r="B37" t="str">
        <f t="shared" si="2"/>
        <v>32112000</v>
      </c>
      <c r="C37" t="str">
        <f t="shared" si="3"/>
        <v>n32112000</v>
      </c>
      <c r="D37" s="2" t="s">
        <v>100</v>
      </c>
      <c r="E37" t="s">
        <v>170</v>
      </c>
      <c r="F37" t="s">
        <v>161</v>
      </c>
      <c r="G37" s="5" t="s">
        <v>199</v>
      </c>
    </row>
    <row r="38" spans="1:7">
      <c r="A38" s="2">
        <v>321219</v>
      </c>
      <c r="B38" t="str">
        <f t="shared" si="2"/>
        <v>32121900</v>
      </c>
      <c r="C38" t="str">
        <f t="shared" si="3"/>
        <v>n32121900</v>
      </c>
      <c r="D38" s="2" t="s">
        <v>101</v>
      </c>
      <c r="E38" t="s">
        <v>170</v>
      </c>
      <c r="F38" t="s">
        <v>161</v>
      </c>
      <c r="G38" s="5" t="s">
        <v>199</v>
      </c>
    </row>
    <row r="39" spans="1:7">
      <c r="A39" s="2">
        <v>321212</v>
      </c>
      <c r="B39" t="str">
        <f t="shared" si="2"/>
        <v>32121200</v>
      </c>
      <c r="C39" t="str">
        <f t="shared" si="3"/>
        <v>n32121200</v>
      </c>
      <c r="D39" s="2" t="s">
        <v>102</v>
      </c>
      <c r="E39" t="s">
        <v>170</v>
      </c>
      <c r="F39" t="s">
        <v>161</v>
      </c>
      <c r="G39" s="5" t="s">
        <v>199</v>
      </c>
    </row>
    <row r="40" spans="1:7">
      <c r="A40" s="2">
        <v>321229</v>
      </c>
      <c r="B40" t="str">
        <f t="shared" si="2"/>
        <v>32122900</v>
      </c>
      <c r="C40" t="str">
        <f t="shared" si="3"/>
        <v>n32122900</v>
      </c>
      <c r="D40" s="2" t="s">
        <v>103</v>
      </c>
      <c r="E40" t="s">
        <v>170</v>
      </c>
      <c r="F40" t="s">
        <v>161</v>
      </c>
      <c r="G40" s="5" t="s">
        <v>199</v>
      </c>
    </row>
    <row r="41" spans="1:7">
      <c r="A41" s="2">
        <v>321222</v>
      </c>
      <c r="B41" t="str">
        <f t="shared" si="2"/>
        <v>32122200</v>
      </c>
      <c r="C41" t="str">
        <f t="shared" si="3"/>
        <v>n32122200</v>
      </c>
      <c r="D41" s="2" t="s">
        <v>104</v>
      </c>
      <c r="E41" t="s">
        <v>170</v>
      </c>
      <c r="F41" t="s">
        <v>161</v>
      </c>
      <c r="G41" s="5" t="s">
        <v>199</v>
      </c>
    </row>
    <row r="42" spans="1:7">
      <c r="A42" s="2">
        <v>32139</v>
      </c>
      <c r="B42" t="str">
        <f t="shared" si="2"/>
        <v>32139000</v>
      </c>
      <c r="C42" t="str">
        <f t="shared" si="3"/>
        <v>n32139000</v>
      </c>
      <c r="D42" s="2" t="s">
        <v>105</v>
      </c>
      <c r="E42" t="s">
        <v>170</v>
      </c>
      <c r="F42" t="s">
        <v>161</v>
      </c>
      <c r="G42" s="5" t="s">
        <v>199</v>
      </c>
    </row>
    <row r="43" spans="1:7">
      <c r="A43" s="2">
        <v>32132</v>
      </c>
      <c r="B43" t="str">
        <f t="shared" si="2"/>
        <v>32132000</v>
      </c>
      <c r="C43" t="str">
        <f t="shared" si="3"/>
        <v>n32132000</v>
      </c>
      <c r="D43" s="2" t="s">
        <v>106</v>
      </c>
      <c r="E43" t="s">
        <v>170</v>
      </c>
      <c r="F43" t="s">
        <v>161</v>
      </c>
      <c r="G43" s="5" t="s">
        <v>199</v>
      </c>
    </row>
    <row r="44" spans="1:7">
      <c r="A44" s="2">
        <v>32142</v>
      </c>
      <c r="B44" t="str">
        <f t="shared" si="2"/>
        <v>32142000</v>
      </c>
      <c r="C44" t="str">
        <f t="shared" si="3"/>
        <v>n32142000</v>
      </c>
      <c r="D44" s="2" t="s">
        <v>107</v>
      </c>
      <c r="E44" t="s">
        <v>170</v>
      </c>
      <c r="F44" t="s">
        <v>161</v>
      </c>
      <c r="G44" s="5" t="s">
        <v>199</v>
      </c>
    </row>
    <row r="45" spans="1:7">
      <c r="A45" s="2">
        <v>32219</v>
      </c>
      <c r="B45" t="str">
        <f t="shared" si="2"/>
        <v>32219000</v>
      </c>
      <c r="C45" t="str">
        <f t="shared" si="3"/>
        <v>n32219000</v>
      </c>
      <c r="D45" s="2" t="s">
        <v>108</v>
      </c>
      <c r="E45" t="s">
        <v>170</v>
      </c>
      <c r="F45" t="s">
        <v>161</v>
      </c>
      <c r="G45" t="s">
        <v>200</v>
      </c>
    </row>
    <row r="46" spans="1:7">
      <c r="A46" s="2">
        <v>32212</v>
      </c>
      <c r="B46" t="str">
        <f t="shared" si="2"/>
        <v>32212000</v>
      </c>
      <c r="C46" t="str">
        <f t="shared" si="3"/>
        <v>n32212000</v>
      </c>
      <c r="D46" s="2" t="s">
        <v>109</v>
      </c>
      <c r="E46" t="s">
        <v>170</v>
      </c>
      <c r="F46" t="s">
        <v>161</v>
      </c>
      <c r="G46" t="s">
        <v>200</v>
      </c>
    </row>
    <row r="47" spans="1:7">
      <c r="A47" s="2">
        <v>32229</v>
      </c>
      <c r="B47" t="str">
        <f t="shared" si="2"/>
        <v>32229000</v>
      </c>
      <c r="C47" t="str">
        <f t="shared" si="3"/>
        <v>n32229000</v>
      </c>
      <c r="D47" s="2" t="s">
        <v>110</v>
      </c>
      <c r="E47" t="s">
        <v>170</v>
      </c>
      <c r="F47" t="s">
        <v>161</v>
      </c>
      <c r="G47" t="s">
        <v>200</v>
      </c>
    </row>
    <row r="48" spans="1:7">
      <c r="A48" s="2">
        <v>32222</v>
      </c>
      <c r="B48" t="str">
        <f t="shared" si="2"/>
        <v>32222000</v>
      </c>
      <c r="C48" t="str">
        <f t="shared" si="3"/>
        <v>n32222000</v>
      </c>
      <c r="D48" s="2" t="s">
        <v>111</v>
      </c>
      <c r="E48" t="s">
        <v>170</v>
      </c>
      <c r="F48" t="s">
        <v>161</v>
      </c>
      <c r="G48" t="s">
        <v>200</v>
      </c>
    </row>
    <row r="49" spans="1:7">
      <c r="A49" s="2">
        <v>32239</v>
      </c>
      <c r="B49" t="str">
        <f t="shared" si="2"/>
        <v>32239000</v>
      </c>
      <c r="C49" t="str">
        <f t="shared" si="3"/>
        <v>n32239000</v>
      </c>
      <c r="D49" s="2" t="s">
        <v>112</v>
      </c>
      <c r="E49" t="s">
        <v>170</v>
      </c>
      <c r="F49" t="s">
        <v>161</v>
      </c>
      <c r="G49" t="s">
        <v>200</v>
      </c>
    </row>
    <row r="50" spans="1:7">
      <c r="A50" s="2">
        <v>32232</v>
      </c>
      <c r="B50" t="str">
        <f t="shared" si="2"/>
        <v>32232000</v>
      </c>
      <c r="C50" t="str">
        <f t="shared" si="3"/>
        <v>n32232000</v>
      </c>
      <c r="D50" s="2" t="s">
        <v>113</v>
      </c>
      <c r="E50" t="s">
        <v>170</v>
      </c>
      <c r="F50" t="s">
        <v>161</v>
      </c>
      <c r="G50" t="s">
        <v>200</v>
      </c>
    </row>
    <row r="51" spans="1:7" s="4" customFormat="1">
      <c r="A51" s="3">
        <v>32242</v>
      </c>
      <c r="B51" s="4" t="str">
        <f t="shared" si="2"/>
        <v>32242000</v>
      </c>
      <c r="C51" s="4" t="str">
        <f t="shared" si="3"/>
        <v>n32242000</v>
      </c>
      <c r="D51" s="3" t="s">
        <v>114</v>
      </c>
      <c r="E51" s="4" t="s">
        <v>170</v>
      </c>
      <c r="F51" s="4" t="s">
        <v>161</v>
      </c>
      <c r="G51" s="4" t="s">
        <v>200</v>
      </c>
    </row>
    <row r="52" spans="1:7">
      <c r="A52" s="2">
        <v>419</v>
      </c>
      <c r="B52" t="str">
        <f t="shared" si="2"/>
        <v>41900000</v>
      </c>
      <c r="C52" t="str">
        <f t="shared" si="3"/>
        <v>n41900000</v>
      </c>
      <c r="D52" s="2" t="s">
        <v>115</v>
      </c>
      <c r="E52" t="s">
        <v>170</v>
      </c>
      <c r="F52" t="s">
        <v>161</v>
      </c>
      <c r="G52" s="5" t="s">
        <v>199</v>
      </c>
    </row>
    <row r="53" spans="1:7">
      <c r="A53" s="2">
        <v>412</v>
      </c>
      <c r="B53" t="str">
        <f t="shared" si="2"/>
        <v>41200000</v>
      </c>
      <c r="C53" t="str">
        <f t="shared" si="3"/>
        <v>n41200000</v>
      </c>
      <c r="D53" s="2" t="s">
        <v>116</v>
      </c>
      <c r="E53" t="s">
        <v>170</v>
      </c>
      <c r="F53" t="s">
        <v>161</v>
      </c>
      <c r="G53" s="5" t="s">
        <v>199</v>
      </c>
    </row>
    <row r="54" spans="1:7">
      <c r="A54" s="2">
        <v>4211119</v>
      </c>
      <c r="B54" t="str">
        <f t="shared" si="2"/>
        <v>42111190</v>
      </c>
      <c r="C54" t="str">
        <f t="shared" si="3"/>
        <v>n42111190</v>
      </c>
      <c r="D54" s="2" t="s">
        <v>117</v>
      </c>
      <c r="E54" t="s">
        <v>170</v>
      </c>
      <c r="F54" t="s">
        <v>165</v>
      </c>
      <c r="G54" s="5" t="s">
        <v>197</v>
      </c>
    </row>
    <row r="55" spans="1:7">
      <c r="A55" s="2">
        <v>4211112</v>
      </c>
      <c r="B55" t="str">
        <f t="shared" si="2"/>
        <v>42111120</v>
      </c>
      <c r="C55" t="str">
        <f t="shared" si="3"/>
        <v>n42111120</v>
      </c>
      <c r="D55" s="2" t="s">
        <v>118</v>
      </c>
      <c r="E55" t="s">
        <v>170</v>
      </c>
      <c r="F55" t="s">
        <v>165</v>
      </c>
      <c r="G55" s="5" t="s">
        <v>197</v>
      </c>
    </row>
    <row r="56" spans="1:7">
      <c r="A56" s="2">
        <v>4211129</v>
      </c>
      <c r="B56" t="str">
        <f t="shared" si="2"/>
        <v>42111290</v>
      </c>
      <c r="C56" t="str">
        <f t="shared" si="3"/>
        <v>n42111290</v>
      </c>
      <c r="D56" s="2" t="s">
        <v>119</v>
      </c>
      <c r="E56" t="s">
        <v>170</v>
      </c>
      <c r="F56" t="s">
        <v>165</v>
      </c>
      <c r="G56" s="5" t="s">
        <v>198</v>
      </c>
    </row>
    <row r="57" spans="1:7">
      <c r="A57" s="2">
        <v>4211122</v>
      </c>
      <c r="B57" t="str">
        <f t="shared" si="2"/>
        <v>42111220</v>
      </c>
      <c r="C57" t="str">
        <f t="shared" si="3"/>
        <v>n42111220</v>
      </c>
      <c r="D57" s="2" t="s">
        <v>120</v>
      </c>
      <c r="E57" t="s">
        <v>170</v>
      </c>
      <c r="F57" t="s">
        <v>165</v>
      </c>
      <c r="G57" s="5" t="s">
        <v>198</v>
      </c>
    </row>
    <row r="58" spans="1:7">
      <c r="A58" s="2">
        <v>4211219</v>
      </c>
      <c r="B58" t="str">
        <f t="shared" si="2"/>
        <v>42112190</v>
      </c>
      <c r="C58" t="str">
        <f t="shared" si="3"/>
        <v>n42112190</v>
      </c>
      <c r="D58" s="2" t="s">
        <v>121</v>
      </c>
      <c r="E58" t="s">
        <v>170</v>
      </c>
      <c r="F58" t="s">
        <v>165</v>
      </c>
      <c r="G58" s="5" t="s">
        <v>197</v>
      </c>
    </row>
    <row r="59" spans="1:7">
      <c r="A59" s="2">
        <v>4211212</v>
      </c>
      <c r="B59" t="str">
        <f t="shared" si="2"/>
        <v>42112120</v>
      </c>
      <c r="C59" t="str">
        <f t="shared" si="3"/>
        <v>n42112120</v>
      </c>
      <c r="D59" s="2" t="s">
        <v>122</v>
      </c>
      <c r="E59" t="s">
        <v>170</v>
      </c>
      <c r="F59" t="s">
        <v>165</v>
      </c>
      <c r="G59" s="5" t="s">
        <v>197</v>
      </c>
    </row>
    <row r="60" spans="1:7">
      <c r="A60" s="2">
        <v>4211229</v>
      </c>
      <c r="B60" t="str">
        <f t="shared" si="2"/>
        <v>42112290</v>
      </c>
      <c r="C60" t="str">
        <f t="shared" si="3"/>
        <v>n42112290</v>
      </c>
      <c r="D60" s="2" t="s">
        <v>123</v>
      </c>
      <c r="E60" t="s">
        <v>170</v>
      </c>
      <c r="F60" t="s">
        <v>165</v>
      </c>
      <c r="G60" s="5" t="s">
        <v>198</v>
      </c>
    </row>
    <row r="61" spans="1:7">
      <c r="A61" s="2">
        <v>4211222</v>
      </c>
      <c r="B61" t="str">
        <f t="shared" si="2"/>
        <v>42112220</v>
      </c>
      <c r="C61" t="str">
        <f t="shared" si="3"/>
        <v>n42112220</v>
      </c>
      <c r="D61" s="2" t="s">
        <v>124</v>
      </c>
      <c r="E61" t="s">
        <v>170</v>
      </c>
      <c r="F61" t="s">
        <v>165</v>
      </c>
      <c r="G61" s="5" t="s">
        <v>198</v>
      </c>
    </row>
    <row r="62" spans="1:7">
      <c r="A62" s="2">
        <v>4212119</v>
      </c>
      <c r="B62" t="str">
        <f t="shared" si="2"/>
        <v>42121190</v>
      </c>
      <c r="C62" t="str">
        <f t="shared" si="3"/>
        <v>n42121190</v>
      </c>
      <c r="D62" s="2" t="s">
        <v>125</v>
      </c>
      <c r="E62" t="s">
        <v>170</v>
      </c>
      <c r="F62" t="s">
        <v>165</v>
      </c>
      <c r="G62" s="5" t="s">
        <v>199</v>
      </c>
    </row>
    <row r="63" spans="1:7">
      <c r="A63" s="2">
        <v>4212112</v>
      </c>
      <c r="B63" t="str">
        <f t="shared" si="2"/>
        <v>42121120</v>
      </c>
      <c r="C63" t="str">
        <f t="shared" si="3"/>
        <v>n42121120</v>
      </c>
      <c r="D63" s="2" t="s">
        <v>126</v>
      </c>
      <c r="E63" t="s">
        <v>170</v>
      </c>
      <c r="F63" t="s">
        <v>165</v>
      </c>
      <c r="G63" s="5" t="s">
        <v>199</v>
      </c>
    </row>
    <row r="64" spans="1:7">
      <c r="A64" s="2">
        <v>4212129</v>
      </c>
      <c r="B64" t="str">
        <f t="shared" si="2"/>
        <v>42121290</v>
      </c>
      <c r="C64" t="str">
        <f t="shared" si="3"/>
        <v>n42121290</v>
      </c>
      <c r="D64" s="2" t="s">
        <v>127</v>
      </c>
      <c r="E64" t="s">
        <v>170</v>
      </c>
      <c r="F64" t="s">
        <v>165</v>
      </c>
      <c r="G64" s="5" t="s">
        <v>199</v>
      </c>
    </row>
    <row r="65" spans="1:7">
      <c r="A65" s="2">
        <v>4212122</v>
      </c>
      <c r="B65" t="str">
        <f t="shared" si="2"/>
        <v>42121220</v>
      </c>
      <c r="C65" t="str">
        <f t="shared" si="3"/>
        <v>n42121220</v>
      </c>
      <c r="D65" s="2" t="s">
        <v>128</v>
      </c>
      <c r="E65" t="s">
        <v>170</v>
      </c>
      <c r="F65" t="s">
        <v>165</v>
      </c>
      <c r="G65" s="5" t="s">
        <v>199</v>
      </c>
    </row>
    <row r="66" spans="1:7">
      <c r="A66" s="2">
        <v>4212219</v>
      </c>
      <c r="B66" t="str">
        <f t="shared" si="2"/>
        <v>42122190</v>
      </c>
      <c r="C66" t="str">
        <f t="shared" si="3"/>
        <v>n42122190</v>
      </c>
      <c r="D66" s="2" t="s">
        <v>129</v>
      </c>
      <c r="E66" t="s">
        <v>170</v>
      </c>
      <c r="F66" t="s">
        <v>165</v>
      </c>
      <c r="G66" t="s">
        <v>200</v>
      </c>
    </row>
    <row r="67" spans="1:7">
      <c r="A67" s="2">
        <v>4212212</v>
      </c>
      <c r="B67" t="str">
        <f t="shared" si="2"/>
        <v>42122120</v>
      </c>
      <c r="C67" t="str">
        <f t="shared" si="3"/>
        <v>n42122120</v>
      </c>
      <c r="D67" s="2" t="s">
        <v>130</v>
      </c>
      <c r="E67" t="s">
        <v>170</v>
      </c>
      <c r="F67" t="s">
        <v>165</v>
      </c>
      <c r="G67" t="s">
        <v>200</v>
      </c>
    </row>
    <row r="68" spans="1:7">
      <c r="A68" s="2">
        <v>4212229</v>
      </c>
      <c r="B68" t="str">
        <f t="shared" si="2"/>
        <v>42122290</v>
      </c>
      <c r="C68" t="str">
        <f t="shared" si="3"/>
        <v>n42122290</v>
      </c>
      <c r="D68" s="2" t="s">
        <v>131</v>
      </c>
      <c r="E68" t="s">
        <v>170</v>
      </c>
      <c r="F68" t="s">
        <v>165</v>
      </c>
      <c r="G68" t="s">
        <v>200</v>
      </c>
    </row>
    <row r="69" spans="1:7">
      <c r="A69" s="2">
        <v>4212222</v>
      </c>
      <c r="B69" t="str">
        <f t="shared" ref="B69:B96" si="4">A69&amp;REPT("0",8-LEN(A69))</f>
        <v>42122220</v>
      </c>
      <c r="C69" t="str">
        <f t="shared" ref="C69:C96" si="5">_xlfn.CONCAT("n",B69)</f>
        <v>n42122220</v>
      </c>
      <c r="D69" s="2" t="s">
        <v>132</v>
      </c>
      <c r="E69" t="s">
        <v>170</v>
      </c>
      <c r="F69" t="s">
        <v>165</v>
      </c>
      <c r="G69" t="s">
        <v>200</v>
      </c>
    </row>
    <row r="70" spans="1:7">
      <c r="A70" s="2">
        <v>422119</v>
      </c>
      <c r="B70" t="str">
        <f t="shared" si="4"/>
        <v>42211900</v>
      </c>
      <c r="C70" t="str">
        <f t="shared" si="5"/>
        <v>n42211900</v>
      </c>
      <c r="D70" s="2" t="s">
        <v>133</v>
      </c>
      <c r="E70" t="s">
        <v>170</v>
      </c>
      <c r="F70" t="s">
        <v>164</v>
      </c>
      <c r="G70" s="5" t="s">
        <v>197</v>
      </c>
    </row>
    <row r="71" spans="1:7">
      <c r="A71" s="2">
        <v>422112</v>
      </c>
      <c r="B71" t="str">
        <f t="shared" si="4"/>
        <v>42211200</v>
      </c>
      <c r="C71" t="str">
        <f t="shared" si="5"/>
        <v>n42211200</v>
      </c>
      <c r="D71" s="2" t="s">
        <v>134</v>
      </c>
      <c r="E71" t="s">
        <v>170</v>
      </c>
      <c r="F71" t="s">
        <v>164</v>
      </c>
      <c r="G71" s="5" t="s">
        <v>197</v>
      </c>
    </row>
    <row r="72" spans="1:7">
      <c r="A72" s="2">
        <v>422129</v>
      </c>
      <c r="B72" t="str">
        <f t="shared" si="4"/>
        <v>42212900</v>
      </c>
      <c r="C72" t="str">
        <f t="shared" si="5"/>
        <v>n42212900</v>
      </c>
      <c r="D72" s="2" t="s">
        <v>135</v>
      </c>
      <c r="E72" t="s">
        <v>170</v>
      </c>
      <c r="F72" t="s">
        <v>164</v>
      </c>
      <c r="G72" s="5" t="s">
        <v>198</v>
      </c>
    </row>
    <row r="73" spans="1:7">
      <c r="A73" s="2">
        <v>422122</v>
      </c>
      <c r="B73" t="str">
        <f t="shared" si="4"/>
        <v>42212200</v>
      </c>
      <c r="C73" t="str">
        <f t="shared" si="5"/>
        <v>n42212200</v>
      </c>
      <c r="D73" s="2" t="s">
        <v>136</v>
      </c>
      <c r="E73" t="s">
        <v>170</v>
      </c>
      <c r="F73" t="s">
        <v>164</v>
      </c>
      <c r="G73" s="5" t="s">
        <v>198</v>
      </c>
    </row>
    <row r="74" spans="1:7">
      <c r="A74" s="2">
        <v>4222119</v>
      </c>
      <c r="B74" t="str">
        <f t="shared" si="4"/>
        <v>42221190</v>
      </c>
      <c r="C74" t="str">
        <f t="shared" si="5"/>
        <v>n42221190</v>
      </c>
      <c r="D74" s="2" t="s">
        <v>137</v>
      </c>
      <c r="E74" t="s">
        <v>170</v>
      </c>
      <c r="F74" t="s">
        <v>164</v>
      </c>
      <c r="G74" s="5" t="s">
        <v>199</v>
      </c>
    </row>
    <row r="75" spans="1:7">
      <c r="A75" s="2">
        <v>4222112</v>
      </c>
      <c r="B75" t="str">
        <f t="shared" si="4"/>
        <v>42221120</v>
      </c>
      <c r="C75" t="str">
        <f t="shared" si="5"/>
        <v>n42221120</v>
      </c>
      <c r="D75" s="2" t="s">
        <v>138</v>
      </c>
      <c r="E75" t="s">
        <v>170</v>
      </c>
      <c r="F75" t="s">
        <v>164</v>
      </c>
      <c r="G75" s="5" t="s">
        <v>199</v>
      </c>
    </row>
    <row r="76" spans="1:7">
      <c r="A76" s="2">
        <v>42221219</v>
      </c>
      <c r="B76" t="str">
        <f t="shared" si="4"/>
        <v>42221219</v>
      </c>
      <c r="C76" t="str">
        <f t="shared" si="5"/>
        <v>n42221219</v>
      </c>
      <c r="D76" s="2" t="s">
        <v>139</v>
      </c>
      <c r="E76" t="s">
        <v>170</v>
      </c>
      <c r="F76" t="s">
        <v>164</v>
      </c>
      <c r="G76" s="5" t="s">
        <v>199</v>
      </c>
    </row>
    <row r="77" spans="1:7">
      <c r="A77" s="2">
        <v>42221212</v>
      </c>
      <c r="B77" t="str">
        <f t="shared" si="4"/>
        <v>42221212</v>
      </c>
      <c r="C77" t="str">
        <f t="shared" si="5"/>
        <v>n42221212</v>
      </c>
      <c r="D77" s="2" t="s">
        <v>140</v>
      </c>
      <c r="E77" t="s">
        <v>170</v>
      </c>
      <c r="F77" t="s">
        <v>164</v>
      </c>
      <c r="G77" s="5" t="s">
        <v>199</v>
      </c>
    </row>
    <row r="78" spans="1:7">
      <c r="A78" s="2">
        <v>42221229</v>
      </c>
      <c r="B78" t="str">
        <f t="shared" si="4"/>
        <v>42221229</v>
      </c>
      <c r="C78" t="str">
        <f t="shared" si="5"/>
        <v>n42221229</v>
      </c>
      <c r="D78" s="2" t="s">
        <v>141</v>
      </c>
      <c r="E78" t="s">
        <v>170</v>
      </c>
      <c r="F78" t="s">
        <v>164</v>
      </c>
      <c r="G78" s="5" t="s">
        <v>199</v>
      </c>
    </row>
    <row r="79" spans="1:7">
      <c r="A79" s="2">
        <v>42221222</v>
      </c>
      <c r="B79" t="str">
        <f t="shared" si="4"/>
        <v>42221222</v>
      </c>
      <c r="C79" t="str">
        <f t="shared" si="5"/>
        <v>n42221222</v>
      </c>
      <c r="D79" s="2" t="s">
        <v>142</v>
      </c>
      <c r="E79" t="s">
        <v>170</v>
      </c>
      <c r="F79" t="s">
        <v>164</v>
      </c>
      <c r="G79" s="5" t="s">
        <v>199</v>
      </c>
    </row>
    <row r="80" spans="1:7">
      <c r="A80" s="2">
        <v>422229</v>
      </c>
      <c r="B80" t="str">
        <f t="shared" si="4"/>
        <v>42222900</v>
      </c>
      <c r="C80" t="str">
        <f t="shared" si="5"/>
        <v>n42222900</v>
      </c>
      <c r="D80" s="2" t="s">
        <v>143</v>
      </c>
      <c r="E80" t="s">
        <v>170</v>
      </c>
      <c r="F80" t="s">
        <v>164</v>
      </c>
      <c r="G80" t="s">
        <v>200</v>
      </c>
    </row>
    <row r="81" spans="1:7" s="4" customFormat="1">
      <c r="A81" s="3">
        <v>422222</v>
      </c>
      <c r="B81" s="4" t="str">
        <f t="shared" si="4"/>
        <v>42222200</v>
      </c>
      <c r="C81" s="4" t="str">
        <f t="shared" si="5"/>
        <v>n42222200</v>
      </c>
      <c r="D81" s="3" t="s">
        <v>144</v>
      </c>
      <c r="E81" s="4" t="s">
        <v>170</v>
      </c>
      <c r="F81" s="4" t="s">
        <v>164</v>
      </c>
      <c r="G81" s="4" t="s">
        <v>200</v>
      </c>
    </row>
    <row r="82" spans="1:7">
      <c r="A82" s="2">
        <v>51</v>
      </c>
      <c r="B82" t="str">
        <f t="shared" si="4"/>
        <v>51000000</v>
      </c>
      <c r="C82" t="str">
        <f t="shared" si="5"/>
        <v>n51000000</v>
      </c>
      <c r="D82" s="2" t="s">
        <v>66</v>
      </c>
      <c r="E82" t="s">
        <v>171</v>
      </c>
      <c r="F82" t="s">
        <v>162</v>
      </c>
      <c r="G82" s="5" t="s">
        <v>201</v>
      </c>
    </row>
    <row r="83" spans="1:7">
      <c r="A83" s="2">
        <v>5219</v>
      </c>
      <c r="B83" t="str">
        <f t="shared" si="4"/>
        <v>52190000</v>
      </c>
      <c r="C83" t="str">
        <f t="shared" si="5"/>
        <v>n52190000</v>
      </c>
      <c r="D83" s="2" t="s">
        <v>145</v>
      </c>
      <c r="E83" t="s">
        <v>171</v>
      </c>
      <c r="F83" t="s">
        <v>163</v>
      </c>
      <c r="G83" t="s">
        <v>201</v>
      </c>
    </row>
    <row r="84" spans="1:7">
      <c r="A84" s="2">
        <v>5212</v>
      </c>
      <c r="B84" t="str">
        <f t="shared" si="4"/>
        <v>52120000</v>
      </c>
      <c r="C84" t="str">
        <f t="shared" si="5"/>
        <v>n52120000</v>
      </c>
      <c r="D84" s="2" t="s">
        <v>146</v>
      </c>
      <c r="E84" t="s">
        <v>171</v>
      </c>
      <c r="F84" t="s">
        <v>163</v>
      </c>
      <c r="G84" t="s">
        <v>201</v>
      </c>
    </row>
    <row r="85" spans="1:7">
      <c r="A85" s="2">
        <v>5222</v>
      </c>
      <c r="B85" t="str">
        <f t="shared" si="4"/>
        <v>52220000</v>
      </c>
      <c r="C85" t="str">
        <f t="shared" si="5"/>
        <v>n52220000</v>
      </c>
      <c r="D85" s="2" t="s">
        <v>147</v>
      </c>
      <c r="E85" t="s">
        <v>171</v>
      </c>
      <c r="F85" t="s">
        <v>163</v>
      </c>
      <c r="G85" t="s">
        <v>201</v>
      </c>
    </row>
    <row r="86" spans="1:7">
      <c r="A86" s="2">
        <v>5239</v>
      </c>
      <c r="B86" t="str">
        <f t="shared" si="4"/>
        <v>52390000</v>
      </c>
      <c r="C86" t="str">
        <f t="shared" si="5"/>
        <v>n52390000</v>
      </c>
      <c r="D86" s="2" t="s">
        <v>148</v>
      </c>
      <c r="E86" t="s">
        <v>171</v>
      </c>
      <c r="F86" t="s">
        <v>163</v>
      </c>
      <c r="G86" t="s">
        <v>201</v>
      </c>
    </row>
    <row r="87" spans="1:7">
      <c r="A87" s="2">
        <v>5232</v>
      </c>
      <c r="B87" t="str">
        <f t="shared" si="4"/>
        <v>52320000</v>
      </c>
      <c r="C87" t="str">
        <f t="shared" si="5"/>
        <v>n52320000</v>
      </c>
      <c r="D87" s="2" t="s">
        <v>149</v>
      </c>
      <c r="E87" t="s">
        <v>171</v>
      </c>
      <c r="F87" t="s">
        <v>163</v>
      </c>
      <c r="G87" t="s">
        <v>201</v>
      </c>
    </row>
    <row r="88" spans="1:7">
      <c r="A88" s="2">
        <v>539</v>
      </c>
      <c r="B88" t="str">
        <f t="shared" si="4"/>
        <v>53900000</v>
      </c>
      <c r="C88" t="str">
        <f t="shared" si="5"/>
        <v>n53900000</v>
      </c>
      <c r="D88" s="2" t="s">
        <v>150</v>
      </c>
      <c r="E88" t="s">
        <v>171</v>
      </c>
      <c r="F88" t="s">
        <v>166</v>
      </c>
      <c r="G88" t="s">
        <v>201</v>
      </c>
    </row>
    <row r="89" spans="1:7" s="4" customFormat="1">
      <c r="A89" s="3">
        <v>532</v>
      </c>
      <c r="B89" s="4" t="str">
        <f t="shared" si="4"/>
        <v>53200000</v>
      </c>
      <c r="C89" s="4" t="str">
        <f t="shared" si="5"/>
        <v>n53200000</v>
      </c>
      <c r="D89" s="3" t="s">
        <v>151</v>
      </c>
      <c r="E89" s="4" t="s">
        <v>171</v>
      </c>
      <c r="F89" s="4" t="s">
        <v>166</v>
      </c>
      <c r="G89" s="4" t="s">
        <v>201</v>
      </c>
    </row>
    <row r="90" spans="1:7">
      <c r="A90" s="2">
        <v>61</v>
      </c>
      <c r="B90" t="str">
        <f t="shared" si="4"/>
        <v>61000000</v>
      </c>
      <c r="C90" t="str">
        <f t="shared" si="5"/>
        <v>n61000000</v>
      </c>
      <c r="D90" s="2" t="s">
        <v>152</v>
      </c>
      <c r="E90" t="s">
        <v>172</v>
      </c>
      <c r="F90" t="s">
        <v>167</v>
      </c>
      <c r="G90" t="s">
        <v>201</v>
      </c>
    </row>
    <row r="91" spans="1:7">
      <c r="A91" s="2">
        <v>6212</v>
      </c>
      <c r="B91" t="str">
        <f t="shared" si="4"/>
        <v>62120000</v>
      </c>
      <c r="C91" t="str">
        <f t="shared" si="5"/>
        <v>n62120000</v>
      </c>
      <c r="D91" s="2" t="s">
        <v>153</v>
      </c>
      <c r="E91" t="s">
        <v>172</v>
      </c>
      <c r="F91" t="s">
        <v>168</v>
      </c>
      <c r="G91" t="s">
        <v>201</v>
      </c>
    </row>
    <row r="92" spans="1:7">
      <c r="A92" s="2">
        <v>6229</v>
      </c>
      <c r="B92" t="str">
        <f t="shared" si="4"/>
        <v>62290000</v>
      </c>
      <c r="C92" t="str">
        <f t="shared" si="5"/>
        <v>n62290000</v>
      </c>
      <c r="D92" s="2" t="s">
        <v>154</v>
      </c>
      <c r="E92" t="s">
        <v>172</v>
      </c>
      <c r="F92" t="s">
        <v>168</v>
      </c>
      <c r="G92" t="s">
        <v>201</v>
      </c>
    </row>
    <row r="93" spans="1:7">
      <c r="A93" s="2">
        <v>6222</v>
      </c>
      <c r="B93" t="str">
        <f t="shared" si="4"/>
        <v>62220000</v>
      </c>
      <c r="C93" t="str">
        <f t="shared" si="5"/>
        <v>n62220000</v>
      </c>
      <c r="D93" s="2" t="s">
        <v>155</v>
      </c>
      <c r="E93" t="s">
        <v>172</v>
      </c>
      <c r="F93" t="s">
        <v>168</v>
      </c>
      <c r="G93" t="s">
        <v>201</v>
      </c>
    </row>
    <row r="94" spans="1:7">
      <c r="A94" s="2">
        <v>639</v>
      </c>
      <c r="B94" t="str">
        <f t="shared" si="4"/>
        <v>63900000</v>
      </c>
      <c r="C94" t="str">
        <f t="shared" si="5"/>
        <v>n63900000</v>
      </c>
      <c r="D94" s="2" t="s">
        <v>156</v>
      </c>
      <c r="E94" t="s">
        <v>172</v>
      </c>
      <c r="F94" t="s">
        <v>169</v>
      </c>
      <c r="G94" t="s">
        <v>201</v>
      </c>
    </row>
    <row r="95" spans="1:7" s="4" customFormat="1">
      <c r="A95" s="3">
        <v>632</v>
      </c>
      <c r="B95" s="4" t="str">
        <f t="shared" si="4"/>
        <v>63200000</v>
      </c>
      <c r="C95" s="4" t="str">
        <f t="shared" si="5"/>
        <v>n63200000</v>
      </c>
      <c r="D95" s="3" t="s">
        <v>157</v>
      </c>
      <c r="E95" s="4" t="s">
        <v>172</v>
      </c>
      <c r="F95" s="4" t="s">
        <v>169</v>
      </c>
      <c r="G95" s="4" t="s">
        <v>201</v>
      </c>
    </row>
    <row r="96" spans="1:7">
      <c r="A96" s="2">
        <v>7</v>
      </c>
      <c r="B96" t="str">
        <f t="shared" si="4"/>
        <v>70000000</v>
      </c>
      <c r="C96" t="str">
        <f t="shared" si="5"/>
        <v>n70000000</v>
      </c>
      <c r="D96" s="2" t="s">
        <v>173</v>
      </c>
      <c r="E96" t="s">
        <v>174</v>
      </c>
      <c r="F96" t="s">
        <v>174</v>
      </c>
      <c r="G96" t="s">
        <v>201</v>
      </c>
    </row>
  </sheetData>
  <autoFilter ref="A1:G1" xr:uid="{6A7BB84B-4BF3-4978-BFCA-0C4F8A30C44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v030_20250430</vt:lpstr>
      <vt:lpstr>v040_20250713</vt:lpstr>
      <vt:lpstr>v042_20250805</vt:lpstr>
      <vt:lpstr>v102_20251027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2026-03-09T15:54:35Z</dcterms:modified>
</cp:coreProperties>
</file>